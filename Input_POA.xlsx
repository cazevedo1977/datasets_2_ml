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lands" sheetId="4" r:id="rId1"/>
    <sheet name="nonlands" sheetId="5" r:id="rId2"/>
    <sheet name="embaralhado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5" l="1"/>
  <c r="B52" i="5"/>
  <c r="H53" i="5"/>
  <c r="G53" i="5"/>
  <c r="F53" i="5"/>
  <c r="E53" i="5"/>
  <c r="D53" i="5"/>
  <c r="C53" i="5"/>
  <c r="H52" i="5"/>
  <c r="G52" i="5"/>
  <c r="F52" i="5"/>
  <c r="E52" i="5"/>
  <c r="D52" i="5"/>
  <c r="C52" i="5"/>
  <c r="C53" i="4"/>
  <c r="D53" i="4"/>
  <c r="E53" i="4"/>
  <c r="F53" i="4"/>
  <c r="G53" i="4"/>
  <c r="H53" i="4"/>
  <c r="B53" i="4"/>
  <c r="G52" i="4"/>
  <c r="H52" i="4"/>
  <c r="C52" i="4"/>
  <c r="D52" i="4"/>
  <c r="E52" i="4"/>
  <c r="F52" i="4"/>
  <c r="B52" i="4"/>
</calcChain>
</file>

<file path=xl/sharedStrings.xml><?xml version="1.0" encoding="utf-8"?>
<sst xmlns="http://schemas.openxmlformats.org/spreadsheetml/2006/main" count="25" uniqueCount="9">
  <si>
    <t>slope</t>
  </si>
  <si>
    <t>aspect</t>
  </si>
  <si>
    <t>elevation</t>
  </si>
  <si>
    <t>uso_solo</t>
  </si>
  <si>
    <t>lito</t>
  </si>
  <si>
    <t>twi</t>
  </si>
  <si>
    <t>curv</t>
  </si>
  <si>
    <t>MÉDIA</t>
  </si>
  <si>
    <t>VARIÂNCIA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</si>
</sst>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pane ySplit="1" topLeftCell="A2" activePane="bottomLeft" state="frozen"/>
      <selection pane="bottomLeft" activeCell="J48" sqref="J48"/>
    </sheetView>
  </sheetViews>
  <sheetFormatPr defaultRowHeight="15" x14ac:dyDescent="0.25"/>
  <cols>
    <col min="1" max="1" width="12.42578125" customWidth="1"/>
  </cols>
  <sheetData>
    <row r="1" spans="2:9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/>
    </row>
    <row r="2" spans="2:9" x14ac:dyDescent="0.25">
      <c r="B2" s="2">
        <v>47.325560000000003</v>
      </c>
      <c r="C2" s="2">
        <v>332.23649999999998</v>
      </c>
      <c r="D2" s="2">
        <v>150.93799999999999</v>
      </c>
      <c r="E2" s="2">
        <v>2230</v>
      </c>
      <c r="F2" s="2">
        <v>2742</v>
      </c>
      <c r="G2" s="2">
        <v>8.8074445724487305</v>
      </c>
      <c r="H2" s="2">
        <v>-2.1122390000000001E-2</v>
      </c>
      <c r="I2" s="2">
        <v>1</v>
      </c>
    </row>
    <row r="3" spans="2:9" x14ac:dyDescent="0.25">
      <c r="B3" s="2">
        <v>13.676439999999999</v>
      </c>
      <c r="C3" s="2">
        <v>229.68780000000001</v>
      </c>
      <c r="D3" s="2">
        <v>36.948900000000002</v>
      </c>
      <c r="E3" s="2">
        <v>2230</v>
      </c>
      <c r="F3" s="2">
        <v>2741</v>
      </c>
      <c r="G3" s="2">
        <v>9.5251646041870099</v>
      </c>
      <c r="H3" s="2">
        <v>-4.3320829999999998E-2</v>
      </c>
      <c r="I3" s="2">
        <v>1</v>
      </c>
    </row>
    <row r="4" spans="2:9" x14ac:dyDescent="0.25">
      <c r="B4" s="2">
        <v>21.2517</v>
      </c>
      <c r="C4" s="2">
        <v>65.549220000000005</v>
      </c>
      <c r="D4" s="2">
        <v>66.712400000000002</v>
      </c>
      <c r="E4" s="2">
        <v>2300</v>
      </c>
      <c r="F4" s="2">
        <v>1507</v>
      </c>
      <c r="G4" s="2">
        <v>6.2685508728027299</v>
      </c>
      <c r="H4" s="2">
        <v>-5.5895820000000001E-3</v>
      </c>
      <c r="I4" s="2">
        <v>1</v>
      </c>
    </row>
    <row r="5" spans="2:9" x14ac:dyDescent="0.25">
      <c r="B5" s="2">
        <v>25.264040000000001</v>
      </c>
      <c r="C5" s="2">
        <v>215.4213</v>
      </c>
      <c r="D5" s="2">
        <v>95.710099999999997</v>
      </c>
      <c r="E5" s="2">
        <v>2230</v>
      </c>
      <c r="F5" s="2">
        <v>2741</v>
      </c>
      <c r="G5" s="2">
        <v>6.1772270202636701</v>
      </c>
      <c r="H5" s="2">
        <v>-3.167848E-3</v>
      </c>
      <c r="I5" s="2">
        <v>1</v>
      </c>
    </row>
    <row r="6" spans="2:9" x14ac:dyDescent="0.25">
      <c r="B6" s="2">
        <v>50.440820000000002</v>
      </c>
      <c r="C6" s="2">
        <v>323.15019999999998</v>
      </c>
      <c r="D6" s="2">
        <v>162.959</v>
      </c>
      <c r="E6" s="2">
        <v>2230</v>
      </c>
      <c r="F6" s="2">
        <v>2742</v>
      </c>
      <c r="G6" s="2">
        <v>8.8074445724487305</v>
      </c>
      <c r="H6" s="2">
        <v>-1.6082180000000001E-2</v>
      </c>
      <c r="I6" s="2">
        <v>1</v>
      </c>
    </row>
    <row r="7" spans="2:9" x14ac:dyDescent="0.25">
      <c r="B7" s="2">
        <v>38.817540000000001</v>
      </c>
      <c r="C7" s="2">
        <v>3.4178549999999999</v>
      </c>
      <c r="D7" s="2">
        <v>153.27099999999999</v>
      </c>
      <c r="E7" s="2">
        <v>2230</v>
      </c>
      <c r="F7" s="2">
        <v>2773</v>
      </c>
      <c r="G7" s="2">
        <v>5.9630846977233896</v>
      </c>
      <c r="H7" s="2">
        <v>-3.0110379999999999E-2</v>
      </c>
      <c r="I7" s="2">
        <v>1</v>
      </c>
    </row>
    <row r="8" spans="2:9" x14ac:dyDescent="0.25">
      <c r="B8" s="2">
        <v>26.273019999999999</v>
      </c>
      <c r="C8" s="2">
        <v>38.050490000000003</v>
      </c>
      <c r="D8" s="2">
        <v>61.719299999999997</v>
      </c>
      <c r="E8" s="2">
        <v>2230</v>
      </c>
      <c r="F8" s="2">
        <v>2742</v>
      </c>
      <c r="G8" s="2">
        <v>7.5405163764953604</v>
      </c>
      <c r="H8" s="2">
        <v>-2.7979500000000001E-2</v>
      </c>
      <c r="I8" s="2">
        <v>1</v>
      </c>
    </row>
    <row r="9" spans="2:9" x14ac:dyDescent="0.25">
      <c r="B9" s="2">
        <v>23.418669999999999</v>
      </c>
      <c r="C9" s="2">
        <v>338.25790000000001</v>
      </c>
      <c r="D9" s="2">
        <v>81.882800000000003</v>
      </c>
      <c r="E9" s="2">
        <v>1220</v>
      </c>
      <c r="F9" s="2">
        <v>2741</v>
      </c>
      <c r="G9" s="2">
        <v>6.73537254333496</v>
      </c>
      <c r="H9" s="2">
        <v>1.7949150000000001E-2</v>
      </c>
      <c r="I9" s="2">
        <v>1</v>
      </c>
    </row>
    <row r="10" spans="2:9" x14ac:dyDescent="0.25">
      <c r="B10" s="2">
        <v>34.914299999999997</v>
      </c>
      <c r="C10" s="2">
        <v>313.05220000000003</v>
      </c>
      <c r="D10" s="2">
        <v>135.715</v>
      </c>
      <c r="E10" s="2">
        <v>2230</v>
      </c>
      <c r="F10" s="2">
        <v>2741</v>
      </c>
      <c r="G10" s="2">
        <v>6.7759723663330096</v>
      </c>
      <c r="H10" s="2">
        <v>-7.0043670000000001E-3</v>
      </c>
      <c r="I10" s="2">
        <v>1</v>
      </c>
    </row>
    <row r="11" spans="2:9" x14ac:dyDescent="0.25">
      <c r="B11" s="2">
        <v>21.414059999999999</v>
      </c>
      <c r="C11" s="2">
        <v>174.6944</v>
      </c>
      <c r="D11" s="2">
        <v>105.236</v>
      </c>
      <c r="E11" s="2">
        <v>2230</v>
      </c>
      <c r="F11" s="2">
        <v>2741</v>
      </c>
      <c r="G11" s="2">
        <v>7.1829819679260298</v>
      </c>
      <c r="H11" s="2">
        <v>-1.2410910000000001E-2</v>
      </c>
      <c r="I11" s="2">
        <v>1</v>
      </c>
    </row>
    <row r="12" spans="2:9" x14ac:dyDescent="0.25">
      <c r="B12" s="2">
        <v>14.43256</v>
      </c>
      <c r="C12" s="2">
        <v>305.21269999999998</v>
      </c>
      <c r="D12" s="2">
        <v>51.511299999999999</v>
      </c>
      <c r="E12" s="2">
        <v>2220</v>
      </c>
      <c r="F12" s="2">
        <v>1507</v>
      </c>
      <c r="G12" s="2">
        <v>6.6509094238281197</v>
      </c>
      <c r="H12" s="2">
        <v>5.6868679999999998E-2</v>
      </c>
      <c r="I12" s="2">
        <v>1</v>
      </c>
    </row>
    <row r="13" spans="2:9" x14ac:dyDescent="0.25">
      <c r="B13" s="2">
        <v>38.886040000000001</v>
      </c>
      <c r="C13" s="2">
        <v>265.41320000000002</v>
      </c>
      <c r="D13" s="2">
        <v>167.874</v>
      </c>
      <c r="E13" s="2">
        <v>2230</v>
      </c>
      <c r="F13" s="2">
        <v>2741</v>
      </c>
      <c r="G13" s="2">
        <v>7.1913547515869096</v>
      </c>
      <c r="H13" s="2">
        <v>-1.6239440000000001E-2</v>
      </c>
      <c r="I13" s="2">
        <v>1</v>
      </c>
    </row>
    <row r="14" spans="2:9" x14ac:dyDescent="0.25">
      <c r="B14" s="2">
        <v>9.610989</v>
      </c>
      <c r="C14" s="2">
        <v>188.28360000000001</v>
      </c>
      <c r="D14" s="2">
        <v>104.42400000000001</v>
      </c>
      <c r="E14" s="2">
        <v>2230</v>
      </c>
      <c r="F14" s="2">
        <v>2773</v>
      </c>
      <c r="G14" s="2">
        <v>5.8209662437439</v>
      </c>
      <c r="H14" s="2">
        <v>6.620347E-2</v>
      </c>
      <c r="I14" s="2">
        <v>1</v>
      </c>
    </row>
    <row r="15" spans="2:9" x14ac:dyDescent="0.25">
      <c r="B15" s="2">
        <v>31.989509999999999</v>
      </c>
      <c r="C15" s="2">
        <v>325.54450000000003</v>
      </c>
      <c r="D15" s="2">
        <v>136.929</v>
      </c>
      <c r="E15" s="2">
        <v>2230</v>
      </c>
      <c r="F15" s="2">
        <v>2741</v>
      </c>
      <c r="G15" s="2">
        <v>6.7899856567382804</v>
      </c>
      <c r="H15" s="2">
        <v>-4.7269169999999998E-3</v>
      </c>
      <c r="I15" s="2">
        <v>1</v>
      </c>
    </row>
    <row r="16" spans="2:9" x14ac:dyDescent="0.25">
      <c r="B16" s="2">
        <v>21.46828</v>
      </c>
      <c r="C16" s="2">
        <v>325.72809999999998</v>
      </c>
      <c r="D16" s="2">
        <v>91.427800000000005</v>
      </c>
      <c r="E16" s="2">
        <v>2230</v>
      </c>
      <c r="F16" s="2">
        <v>2742</v>
      </c>
      <c r="G16" s="2">
        <v>7.3829488754272496</v>
      </c>
      <c r="H16" s="2">
        <v>-2.2380170000000001E-2</v>
      </c>
      <c r="I16" s="2">
        <v>1</v>
      </c>
    </row>
    <row r="17" spans="2:9" x14ac:dyDescent="0.25">
      <c r="B17" s="2">
        <v>40.885649999999998</v>
      </c>
      <c r="C17" s="2">
        <v>34.561169999999997</v>
      </c>
      <c r="D17" s="2">
        <v>237.22300000000001</v>
      </c>
      <c r="E17" s="2">
        <v>2230</v>
      </c>
      <c r="F17" s="2">
        <v>2741</v>
      </c>
      <c r="G17" s="2">
        <v>5.4332227706909197</v>
      </c>
      <c r="H17" s="2">
        <v>3.3371049999999999E-2</v>
      </c>
      <c r="I17" s="2">
        <v>1</v>
      </c>
    </row>
    <row r="18" spans="2:9" x14ac:dyDescent="0.25">
      <c r="B18" s="2">
        <v>25.516459999999999</v>
      </c>
      <c r="C18" s="2">
        <v>281.42750000000001</v>
      </c>
      <c r="D18" s="2">
        <v>159.048</v>
      </c>
      <c r="E18" s="2">
        <v>2230</v>
      </c>
      <c r="F18" s="2">
        <v>2741</v>
      </c>
      <c r="G18" s="2">
        <v>7.3179035186767596</v>
      </c>
      <c r="H18" s="2">
        <v>7.2812240000000002E-3</v>
      </c>
      <c r="I18" s="2">
        <v>1</v>
      </c>
    </row>
    <row r="19" spans="2:9" x14ac:dyDescent="0.25">
      <c r="B19" s="2">
        <v>35.926389999999998</v>
      </c>
      <c r="C19" s="2">
        <v>355.0102</v>
      </c>
      <c r="D19" s="2">
        <v>126.45399999999999</v>
      </c>
      <c r="E19" s="2">
        <v>2230</v>
      </c>
      <c r="F19" s="2">
        <v>2741</v>
      </c>
      <c r="G19" s="2">
        <v>5.9423041343689</v>
      </c>
      <c r="H19" s="2">
        <v>1.2324110000000001E-3</v>
      </c>
      <c r="I19" s="2">
        <v>1</v>
      </c>
    </row>
    <row r="20" spans="2:9" x14ac:dyDescent="0.25">
      <c r="B20" s="2">
        <v>12.313599999999999</v>
      </c>
      <c r="C20" s="2">
        <v>323.43439999999998</v>
      </c>
      <c r="D20" s="2">
        <v>68.768900000000002</v>
      </c>
      <c r="E20" s="2">
        <v>2230</v>
      </c>
      <c r="F20" s="2">
        <v>2773</v>
      </c>
      <c r="G20" s="2">
        <v>7.0807876586914098</v>
      </c>
      <c r="H20" s="2">
        <v>1.0400700000000001E-2</v>
      </c>
      <c r="I20" s="2">
        <v>1</v>
      </c>
    </row>
    <row r="21" spans="2:9" x14ac:dyDescent="0.25">
      <c r="B21" s="2">
        <v>34.225119999999997</v>
      </c>
      <c r="C21" s="2">
        <v>9.9486629999999998</v>
      </c>
      <c r="D21" s="2">
        <v>125.395</v>
      </c>
      <c r="E21" s="2">
        <v>2230</v>
      </c>
      <c r="F21" s="2">
        <v>2741</v>
      </c>
      <c r="G21" s="2">
        <v>5.9423041343689</v>
      </c>
      <c r="H21" s="2">
        <v>-3.7346290000000002E-3</v>
      </c>
      <c r="I21" s="2">
        <v>1</v>
      </c>
    </row>
    <row r="22" spans="2:9" x14ac:dyDescent="0.25">
      <c r="B22" s="2">
        <v>35.926389999999998</v>
      </c>
      <c r="C22" s="2">
        <v>355.0102</v>
      </c>
      <c r="D22" s="2">
        <v>126.45399999999999</v>
      </c>
      <c r="E22" s="2">
        <v>2230</v>
      </c>
      <c r="F22" s="2">
        <v>2741</v>
      </c>
      <c r="G22" s="2">
        <v>5.9423041343689</v>
      </c>
      <c r="H22" s="2">
        <v>1.2324110000000001E-3</v>
      </c>
      <c r="I22" s="2">
        <v>1</v>
      </c>
    </row>
    <row r="23" spans="2:9" x14ac:dyDescent="0.25">
      <c r="B23" s="2">
        <v>15.409689999999999</v>
      </c>
      <c r="C23" s="2">
        <v>290.92090000000002</v>
      </c>
      <c r="D23" s="2">
        <v>104.871</v>
      </c>
      <c r="E23" s="2">
        <v>2230</v>
      </c>
      <c r="F23" s="2">
        <v>2741</v>
      </c>
      <c r="G23" s="2">
        <v>7.5690722465515101</v>
      </c>
      <c r="H23" s="2">
        <v>-1.1200019999999999E-3</v>
      </c>
      <c r="I23" s="2">
        <v>1</v>
      </c>
    </row>
    <row r="24" spans="2:9" x14ac:dyDescent="0.25">
      <c r="B24" s="2">
        <v>16.2957</v>
      </c>
      <c r="C24" s="2">
        <v>216.5744</v>
      </c>
      <c r="D24" s="2">
        <v>106.033</v>
      </c>
      <c r="E24" s="2">
        <v>2230</v>
      </c>
      <c r="F24" s="2">
        <v>2773</v>
      </c>
      <c r="G24" s="2">
        <v>9.1820287704467791</v>
      </c>
      <c r="H24" s="2">
        <v>-1.5873200000000001E-2</v>
      </c>
      <c r="I24" s="2">
        <v>1</v>
      </c>
    </row>
    <row r="25" spans="2:9" x14ac:dyDescent="0.25">
      <c r="B25" s="2">
        <v>12.80721</v>
      </c>
      <c r="C25" s="2">
        <v>252.2655</v>
      </c>
      <c r="D25" s="2">
        <v>193.453</v>
      </c>
      <c r="E25" s="2">
        <v>2230</v>
      </c>
      <c r="F25" s="2">
        <v>2741</v>
      </c>
      <c r="G25" s="2">
        <v>5.7891383171081499</v>
      </c>
      <c r="H25" s="2">
        <v>4.3848249999999998E-2</v>
      </c>
      <c r="I25" s="2">
        <v>1</v>
      </c>
    </row>
    <row r="26" spans="2:9" x14ac:dyDescent="0.25">
      <c r="B26" s="2">
        <v>19.000389999999999</v>
      </c>
      <c r="C26" s="2">
        <v>311.25470000000001</v>
      </c>
      <c r="D26" s="2">
        <v>187.19800000000001</v>
      </c>
      <c r="E26" s="2">
        <v>2230</v>
      </c>
      <c r="F26" s="2">
        <v>2741</v>
      </c>
      <c r="G26" s="2">
        <v>7.2908363342285201</v>
      </c>
      <c r="H26" s="2">
        <v>-3.337661E-3</v>
      </c>
      <c r="I26" s="2">
        <v>1</v>
      </c>
    </row>
    <row r="27" spans="2:9" x14ac:dyDescent="0.25">
      <c r="B27" s="2">
        <v>24.59159</v>
      </c>
      <c r="C27" s="2">
        <v>330.46159999999998</v>
      </c>
      <c r="D27" s="2">
        <v>257.70999999999998</v>
      </c>
      <c r="E27" s="2">
        <v>2230</v>
      </c>
      <c r="F27" s="2">
        <v>2741</v>
      </c>
      <c r="G27" s="2">
        <v>5.94693899154663</v>
      </c>
      <c r="H27" s="2">
        <v>1.7660599999999999E-2</v>
      </c>
      <c r="I27" s="2">
        <v>1</v>
      </c>
    </row>
    <row r="28" spans="2:9" x14ac:dyDescent="0.25">
      <c r="B28" s="2">
        <v>11.61885</v>
      </c>
      <c r="C28" s="2">
        <v>83.922970000000007</v>
      </c>
      <c r="D28" s="2">
        <v>63.8611</v>
      </c>
      <c r="E28" s="2">
        <v>2230</v>
      </c>
      <c r="F28" s="2">
        <v>2742</v>
      </c>
      <c r="G28" s="2">
        <v>7.1702151298522896</v>
      </c>
      <c r="H28" s="2">
        <v>-4.3281730000000003E-3</v>
      </c>
      <c r="I28" s="2">
        <v>1</v>
      </c>
    </row>
    <row r="29" spans="2:9" x14ac:dyDescent="0.25">
      <c r="B29" s="2">
        <v>18.163620000000002</v>
      </c>
      <c r="C29" s="2">
        <v>162.6687</v>
      </c>
      <c r="D29" s="2">
        <v>125.63200000000001</v>
      </c>
      <c r="E29" s="2">
        <v>2230</v>
      </c>
      <c r="F29" s="2">
        <v>2741</v>
      </c>
      <c r="G29" s="2">
        <v>7.8442449569702104</v>
      </c>
      <c r="H29" s="2">
        <v>2.095815E-3</v>
      </c>
      <c r="I29" s="2">
        <v>1</v>
      </c>
    </row>
    <row r="30" spans="2:9" x14ac:dyDescent="0.25">
      <c r="B30" s="2">
        <v>17.252320000000001</v>
      </c>
      <c r="C30" s="2">
        <v>215.22559999999999</v>
      </c>
      <c r="D30" s="2">
        <v>37.738199999999999</v>
      </c>
      <c r="E30" s="2">
        <v>2230</v>
      </c>
      <c r="F30" s="2">
        <v>1507</v>
      </c>
      <c r="G30" s="2">
        <v>6.0910096168518102</v>
      </c>
      <c r="H30" s="2">
        <v>-2.1943460000000001E-2</v>
      </c>
      <c r="I30" s="2">
        <v>1</v>
      </c>
    </row>
    <row r="31" spans="2:9" x14ac:dyDescent="0.25">
      <c r="B31" s="2">
        <v>7.5229809999999997</v>
      </c>
      <c r="C31" s="2">
        <v>282.01900000000001</v>
      </c>
      <c r="D31" s="2">
        <v>36.687600000000003</v>
      </c>
      <c r="E31" s="2">
        <v>2230</v>
      </c>
      <c r="F31" s="2">
        <v>2741</v>
      </c>
      <c r="G31" s="2">
        <v>6.9886140823364302</v>
      </c>
      <c r="H31" s="2">
        <v>5.9312239999999997E-3</v>
      </c>
      <c r="I31" s="2">
        <v>1</v>
      </c>
    </row>
    <row r="32" spans="2:9" x14ac:dyDescent="0.25">
      <c r="B32" s="2">
        <v>26.273019999999999</v>
      </c>
      <c r="C32" s="2">
        <v>38.050490000000003</v>
      </c>
      <c r="D32" s="2">
        <v>61.719299999999997</v>
      </c>
      <c r="E32" s="2">
        <v>2230</v>
      </c>
      <c r="F32" s="2">
        <v>2742</v>
      </c>
      <c r="G32" s="2">
        <v>7.5405163764953604</v>
      </c>
      <c r="H32" s="2">
        <v>-2.7979500000000001E-2</v>
      </c>
      <c r="I32" s="2">
        <v>1</v>
      </c>
    </row>
    <row r="33" spans="2:9" x14ac:dyDescent="0.25">
      <c r="B33" s="2">
        <v>36.05959</v>
      </c>
      <c r="C33" s="2">
        <v>270.452</v>
      </c>
      <c r="D33" s="2">
        <v>177.05199999999999</v>
      </c>
      <c r="E33" s="2">
        <v>2230</v>
      </c>
      <c r="F33" s="2">
        <v>2741</v>
      </c>
      <c r="G33" s="2">
        <v>7.9573802947998002</v>
      </c>
      <c r="H33" s="2">
        <v>-1.7213889999999999E-2</v>
      </c>
      <c r="I33" s="2">
        <v>1</v>
      </c>
    </row>
    <row r="34" spans="2:9" x14ac:dyDescent="0.25">
      <c r="B34" s="2">
        <v>28.050319999999999</v>
      </c>
      <c r="C34" s="2">
        <v>349.733</v>
      </c>
      <c r="D34" s="2">
        <v>77.653800000000004</v>
      </c>
      <c r="E34" s="2">
        <v>2230</v>
      </c>
      <c r="F34" s="2">
        <v>2741</v>
      </c>
      <c r="G34" s="2">
        <v>6.0022087097168004</v>
      </c>
      <c r="H34" s="2">
        <v>-1.6151200000000001E-2</v>
      </c>
      <c r="I34" s="2">
        <v>1</v>
      </c>
    </row>
    <row r="35" spans="2:9" x14ac:dyDescent="0.25">
      <c r="B35" s="2">
        <v>12.91217</v>
      </c>
      <c r="C35" s="2">
        <v>312.83260000000001</v>
      </c>
      <c r="D35" s="2">
        <v>100.764</v>
      </c>
      <c r="E35" s="2">
        <v>2230</v>
      </c>
      <c r="F35" s="2">
        <v>2741</v>
      </c>
      <c r="G35" s="2">
        <v>7.0414309501647896</v>
      </c>
      <c r="H35" s="2">
        <v>9.3734460000000006E-3</v>
      </c>
      <c r="I35" s="2">
        <v>1</v>
      </c>
    </row>
    <row r="36" spans="2:9" x14ac:dyDescent="0.25">
      <c r="B36" s="2">
        <v>43.193649999999998</v>
      </c>
      <c r="C36" s="2">
        <v>317.0813</v>
      </c>
      <c r="D36" s="2">
        <v>147.953</v>
      </c>
      <c r="E36" s="2">
        <v>2230</v>
      </c>
      <c r="F36" s="2">
        <v>2742</v>
      </c>
      <c r="G36" s="2">
        <v>9.0512056350708008</v>
      </c>
      <c r="H36" s="2">
        <v>-4.6799970000000003E-2</v>
      </c>
      <c r="I36" s="2">
        <v>1</v>
      </c>
    </row>
    <row r="37" spans="2:9" x14ac:dyDescent="0.25">
      <c r="B37" s="2">
        <v>21.343640000000001</v>
      </c>
      <c r="C37" s="2">
        <v>199.6523</v>
      </c>
      <c r="D37" s="2">
        <v>56.430300000000003</v>
      </c>
      <c r="E37" s="2">
        <v>2230</v>
      </c>
      <c r="F37" s="2">
        <v>2773</v>
      </c>
      <c r="G37" s="2">
        <v>7.9022140502929696</v>
      </c>
      <c r="H37" s="2">
        <v>1.6150629999999999E-2</v>
      </c>
      <c r="I37" s="2">
        <v>1</v>
      </c>
    </row>
    <row r="38" spans="2:9" x14ac:dyDescent="0.25">
      <c r="B38" s="2">
        <v>7.0451300000000003</v>
      </c>
      <c r="C38" s="2">
        <v>99.541309999999996</v>
      </c>
      <c r="D38" s="2">
        <v>37.765300000000003</v>
      </c>
      <c r="E38" s="2">
        <v>1420</v>
      </c>
      <c r="F38" s="2">
        <v>2742</v>
      </c>
      <c r="G38" s="2">
        <v>9.46826267242432</v>
      </c>
      <c r="H38" s="2">
        <v>-1.869154E-2</v>
      </c>
      <c r="I38" s="2">
        <v>1</v>
      </c>
    </row>
    <row r="39" spans="2:9" x14ac:dyDescent="0.25">
      <c r="B39" s="2">
        <v>28.894169999999999</v>
      </c>
      <c r="C39" s="2">
        <v>61.79618</v>
      </c>
      <c r="D39" s="2">
        <v>62.967399999999998</v>
      </c>
      <c r="E39" s="2">
        <v>1220</v>
      </c>
      <c r="F39" s="2">
        <v>2773</v>
      </c>
      <c r="G39" s="2">
        <v>6.2001600265502903</v>
      </c>
      <c r="H39" s="2">
        <v>9.0950079999999999E-3</v>
      </c>
      <c r="I39" s="2">
        <v>1</v>
      </c>
    </row>
    <row r="40" spans="2:9" x14ac:dyDescent="0.25">
      <c r="B40" s="2">
        <v>31.69032</v>
      </c>
      <c r="C40" s="2">
        <v>36.392569999999999</v>
      </c>
      <c r="D40" s="2">
        <v>210.798</v>
      </c>
      <c r="E40" s="2">
        <v>1310</v>
      </c>
      <c r="F40" s="2">
        <v>2741</v>
      </c>
      <c r="G40" s="2">
        <v>5.9046177864074698</v>
      </c>
      <c r="H40" s="2">
        <v>1.4104780000000001E-2</v>
      </c>
      <c r="I40" s="2">
        <v>1</v>
      </c>
    </row>
    <row r="41" spans="2:9" x14ac:dyDescent="0.25">
      <c r="B41" s="2">
        <v>39.27149</v>
      </c>
      <c r="C41" s="2">
        <v>271.68970000000002</v>
      </c>
      <c r="D41" s="2">
        <v>167.57900000000001</v>
      </c>
      <c r="E41" s="2">
        <v>2230</v>
      </c>
      <c r="F41" s="2">
        <v>2741</v>
      </c>
      <c r="G41" s="2">
        <v>6.6716060638427699</v>
      </c>
      <c r="H41" s="2">
        <v>-3.9204269999999999E-2</v>
      </c>
      <c r="I41" s="2">
        <v>1</v>
      </c>
    </row>
    <row r="42" spans="2:9" x14ac:dyDescent="0.25">
      <c r="B42" s="2">
        <v>29.077539999999999</v>
      </c>
      <c r="C42" s="2">
        <v>301.22579999999999</v>
      </c>
      <c r="D42" s="2">
        <v>95.721500000000006</v>
      </c>
      <c r="E42" s="2">
        <v>2230</v>
      </c>
      <c r="F42" s="2">
        <v>2742</v>
      </c>
      <c r="G42" s="2">
        <v>9.2600498199462908</v>
      </c>
      <c r="H42" s="2">
        <v>-3.4782899999999999E-2</v>
      </c>
      <c r="I42" s="2">
        <v>1</v>
      </c>
    </row>
    <row r="43" spans="2:9" x14ac:dyDescent="0.25">
      <c r="B43" s="2">
        <v>15.270530000000001</v>
      </c>
      <c r="C43" s="2">
        <v>70.068619999999996</v>
      </c>
      <c r="D43" s="2">
        <v>44.583300000000001</v>
      </c>
      <c r="E43" s="2">
        <v>2230</v>
      </c>
      <c r="F43" s="2">
        <v>2741</v>
      </c>
      <c r="G43" s="2">
        <v>8.3427619934081996</v>
      </c>
      <c r="H43" s="2">
        <v>-2.4895469999999999E-2</v>
      </c>
      <c r="I43" s="2">
        <v>1</v>
      </c>
    </row>
    <row r="44" spans="2:9" x14ac:dyDescent="0.25">
      <c r="B44" s="2">
        <v>20.16253</v>
      </c>
      <c r="C44" s="2">
        <v>302.82819999999998</v>
      </c>
      <c r="D44" s="2">
        <v>227.203</v>
      </c>
      <c r="E44" s="2">
        <v>2230</v>
      </c>
      <c r="F44" s="2">
        <v>2741</v>
      </c>
      <c r="G44" s="2">
        <v>5.2906742095947301</v>
      </c>
      <c r="H44" s="2">
        <v>4.0442579999999999E-2</v>
      </c>
      <c r="I44" s="2">
        <v>1</v>
      </c>
    </row>
    <row r="45" spans="2:9" x14ac:dyDescent="0.25">
      <c r="B45" s="2">
        <v>44.821980000000003</v>
      </c>
      <c r="C45" s="2">
        <v>17.85426</v>
      </c>
      <c r="D45" s="2">
        <v>118.768</v>
      </c>
      <c r="E45" s="2">
        <v>2230</v>
      </c>
      <c r="F45" s="2">
        <v>2741</v>
      </c>
      <c r="G45" s="2">
        <v>6.3703022003173801</v>
      </c>
      <c r="H45" s="2">
        <v>-1.9464599999999999E-2</v>
      </c>
      <c r="I45" s="2">
        <v>1</v>
      </c>
    </row>
    <row r="46" spans="2:9" x14ac:dyDescent="0.25">
      <c r="B46" s="2">
        <v>13.86985</v>
      </c>
      <c r="C46" s="2">
        <v>96.816069999999996</v>
      </c>
      <c r="D46" s="2">
        <v>92.364099999999993</v>
      </c>
      <c r="E46" s="2">
        <v>2300</v>
      </c>
      <c r="F46" s="2">
        <v>1507</v>
      </c>
      <c r="G46" s="2">
        <v>7.8674597740173304</v>
      </c>
      <c r="H46" s="2">
        <v>-2.1442119999999999E-2</v>
      </c>
      <c r="I46" s="2">
        <v>1</v>
      </c>
    </row>
    <row r="47" spans="2:9" x14ac:dyDescent="0.25">
      <c r="B47" s="2">
        <v>37.890990000000002</v>
      </c>
      <c r="C47" s="2">
        <v>336.34500000000003</v>
      </c>
      <c r="D47" s="2">
        <v>177.72200000000001</v>
      </c>
      <c r="E47" s="2">
        <v>2230</v>
      </c>
      <c r="F47" s="2">
        <v>2773</v>
      </c>
      <c r="G47" s="2">
        <v>6.2171783447265598</v>
      </c>
      <c r="H47" s="2">
        <v>-2.12111E-2</v>
      </c>
      <c r="I47" s="2">
        <v>1</v>
      </c>
    </row>
    <row r="48" spans="2:9" x14ac:dyDescent="0.25">
      <c r="B48" s="2">
        <v>21.2517</v>
      </c>
      <c r="C48" s="2">
        <v>65.549220000000005</v>
      </c>
      <c r="D48" s="2">
        <v>66.712400000000002</v>
      </c>
      <c r="E48" s="2">
        <v>2300</v>
      </c>
      <c r="F48" s="2">
        <v>1507</v>
      </c>
      <c r="G48" s="2">
        <v>6.2685508728027299</v>
      </c>
      <c r="H48" s="2">
        <v>-5.5895820000000001E-3</v>
      </c>
      <c r="I48" s="2">
        <v>1</v>
      </c>
    </row>
    <row r="49" spans="1:9" x14ac:dyDescent="0.25">
      <c r="B49" s="2">
        <v>50.764290000000003</v>
      </c>
      <c r="C49" s="2">
        <v>336.88740000000001</v>
      </c>
      <c r="D49" s="2">
        <v>157.279</v>
      </c>
      <c r="E49" s="2">
        <v>2230</v>
      </c>
      <c r="F49" s="2">
        <v>2742</v>
      </c>
      <c r="G49" s="2">
        <v>8.9286022186279297</v>
      </c>
      <c r="H49" s="2">
        <v>-7.7988809999999997E-3</v>
      </c>
      <c r="I49" s="2">
        <v>1</v>
      </c>
    </row>
    <row r="50" spans="1:9" x14ac:dyDescent="0.25">
      <c r="B50" s="2">
        <v>15.893039999999999</v>
      </c>
      <c r="C50" s="2">
        <v>240.21559999999999</v>
      </c>
      <c r="D50" s="2">
        <v>179.624</v>
      </c>
      <c r="E50" s="2">
        <v>2230</v>
      </c>
      <c r="F50" s="2">
        <v>2741</v>
      </c>
      <c r="G50" s="2">
        <v>7.92968797683716</v>
      </c>
      <c r="H50" s="2">
        <v>-3.5824880000000003E-2</v>
      </c>
      <c r="I50" s="2">
        <v>1</v>
      </c>
    </row>
    <row r="51" spans="1:9" x14ac:dyDescent="0.25">
      <c r="B51" s="2">
        <v>31.69032</v>
      </c>
      <c r="C51" s="2">
        <v>36.392569999999999</v>
      </c>
      <c r="D51" s="2">
        <v>210.798</v>
      </c>
      <c r="E51" s="2">
        <v>1310</v>
      </c>
      <c r="F51" s="2">
        <v>2741</v>
      </c>
      <c r="G51" s="2">
        <v>5.9046177864074698</v>
      </c>
      <c r="H51" s="2">
        <v>1.4104780000000001E-2</v>
      </c>
      <c r="I51" s="2">
        <v>1</v>
      </c>
    </row>
    <row r="52" spans="1:9" x14ac:dyDescent="0.25">
      <c r="A52" s="5" t="s">
        <v>7</v>
      </c>
      <c r="B52">
        <f>AVERAGE(B2:B51)</f>
        <v>26.0413152</v>
      </c>
      <c r="C52">
        <f t="shared" ref="C52:F52" si="0">AVERAGE(C2:C51)</f>
        <v>214.19619316000004</v>
      </c>
      <c r="D52">
        <f t="shared" si="0"/>
        <v>120.62485599999998</v>
      </c>
      <c r="E52" s="6">
        <f t="shared" si="0"/>
        <v>2140.6</v>
      </c>
      <c r="F52" s="6">
        <f t="shared" si="0"/>
        <v>2622.28</v>
      </c>
      <c r="G52">
        <f>AVERAGE(G2:G51)</f>
        <v>7.1054067420959477</v>
      </c>
      <c r="H52">
        <f>AVERAGE(H2:H51)</f>
        <v>-4.6035066600000002E-3</v>
      </c>
    </row>
    <row r="53" spans="1:9" x14ac:dyDescent="0.25">
      <c r="A53" s="5" t="s">
        <v>8</v>
      </c>
      <c r="B53">
        <f>_xlfn.VAR.P(B3:B51)</f>
        <v>126.41939502810973</v>
      </c>
      <c r="C53">
        <f t="shared" ref="C53:H53" si="1">_xlfn.VAR.P(C3:C51)</f>
        <v>13763.122958435981</v>
      </c>
      <c r="D53">
        <f t="shared" si="1"/>
        <v>3330.0252202828601</v>
      </c>
      <c r="E53" s="6">
        <f t="shared" si="1"/>
        <v>81553.602665556013</v>
      </c>
      <c r="F53" s="6">
        <f t="shared" si="1"/>
        <v>140849.19783423573</v>
      </c>
      <c r="G53">
        <f t="shared" si="1"/>
        <v>1.2710779528807712</v>
      </c>
      <c r="H53">
        <f t="shared" si="1"/>
        <v>5.8385887019352979E-4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pane ySplit="1" topLeftCell="A2" activePane="bottomLeft" state="frozen"/>
      <selection pane="bottomLeft" activeCell="E53" sqref="E53:F53"/>
    </sheetView>
  </sheetViews>
  <sheetFormatPr defaultRowHeight="15" x14ac:dyDescent="0.25"/>
  <sheetData>
    <row r="1" spans="2:9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/>
    </row>
    <row r="2" spans="2:9" x14ac:dyDescent="0.25">
      <c r="B2" s="2">
        <v>2.7555939999999999</v>
      </c>
      <c r="C2" s="2">
        <v>284.34320000000002</v>
      </c>
      <c r="D2" s="2">
        <v>50.848300000000002</v>
      </c>
      <c r="E2" s="2">
        <v>1320</v>
      </c>
      <c r="F2" s="2">
        <v>2790</v>
      </c>
      <c r="G2" s="2">
        <v>6.7519345283508301</v>
      </c>
      <c r="H2" s="2">
        <v>-1.162078E-4</v>
      </c>
      <c r="I2" s="2">
        <v>0</v>
      </c>
    </row>
    <row r="3" spans="2:9" x14ac:dyDescent="0.25">
      <c r="B3" s="2">
        <v>5.8131620000000002</v>
      </c>
      <c r="C3" s="2">
        <v>343.58539999999999</v>
      </c>
      <c r="D3" s="2">
        <v>9.5276800000000001</v>
      </c>
      <c r="E3" s="2">
        <v>1420</v>
      </c>
      <c r="F3" s="2">
        <v>2790</v>
      </c>
      <c r="G3" s="2">
        <v>6.5904679298400897</v>
      </c>
      <c r="H3" s="2">
        <v>8.1080700000000002E-3</v>
      </c>
      <c r="I3" s="2">
        <v>0</v>
      </c>
    </row>
    <row r="4" spans="2:9" x14ac:dyDescent="0.25">
      <c r="B4" s="2">
        <v>1.7468589999999999</v>
      </c>
      <c r="C4" s="2">
        <v>76.171859999999995</v>
      </c>
      <c r="D4" s="2">
        <v>4.0444300000000002</v>
      </c>
      <c r="E4" s="2">
        <v>1320</v>
      </c>
      <c r="F4" s="2">
        <v>1507</v>
      </c>
      <c r="G4" s="2">
        <v>8.7031879425048793</v>
      </c>
      <c r="H4" s="2">
        <v>2.630608E-3</v>
      </c>
      <c r="I4" s="2">
        <v>0</v>
      </c>
    </row>
    <row r="5" spans="2:9" x14ac:dyDescent="0.25">
      <c r="B5" s="2">
        <v>14.37866</v>
      </c>
      <c r="C5" s="2">
        <v>328.0992</v>
      </c>
      <c r="D5" s="2">
        <v>94.453699999999998</v>
      </c>
      <c r="E5" s="2">
        <v>2220</v>
      </c>
      <c r="F5" s="2">
        <v>1507</v>
      </c>
      <c r="G5" s="2">
        <v>5.7028045654296902</v>
      </c>
      <c r="H5" s="2">
        <v>1.4410579999999999E-2</v>
      </c>
      <c r="I5" s="2">
        <v>0</v>
      </c>
    </row>
    <row r="6" spans="2:9" x14ac:dyDescent="0.25">
      <c r="B6" s="2">
        <v>19.469329999999999</v>
      </c>
      <c r="C6" s="2">
        <v>317.97210000000001</v>
      </c>
      <c r="D6" s="2">
        <v>73.0167</v>
      </c>
      <c r="E6" s="2">
        <v>1620</v>
      </c>
      <c r="F6" s="2">
        <v>2773</v>
      </c>
      <c r="G6" s="2">
        <v>6.5559277534484899</v>
      </c>
      <c r="H6" s="2">
        <v>-1.170918E-2</v>
      </c>
      <c r="I6" s="2">
        <v>0</v>
      </c>
    </row>
    <row r="7" spans="2:9" x14ac:dyDescent="0.25">
      <c r="B7" s="2">
        <v>25.80331</v>
      </c>
      <c r="C7" s="2">
        <v>283.87810000000002</v>
      </c>
      <c r="D7" s="2">
        <v>105.611</v>
      </c>
      <c r="E7" s="2">
        <v>1210</v>
      </c>
      <c r="F7" s="2">
        <v>2741</v>
      </c>
      <c r="G7" s="2">
        <v>5.9640769958496103</v>
      </c>
      <c r="H7" s="2">
        <v>2.328322E-2</v>
      </c>
      <c r="I7" s="2">
        <v>0</v>
      </c>
    </row>
    <row r="8" spans="2:9" x14ac:dyDescent="0.25">
      <c r="B8" s="2">
        <v>6.8629439999999997</v>
      </c>
      <c r="C8" s="2">
        <v>117.93519999999999</v>
      </c>
      <c r="D8" s="2">
        <v>52.208399999999997</v>
      </c>
      <c r="E8" s="2">
        <v>2230</v>
      </c>
      <c r="F8" s="2">
        <v>2742</v>
      </c>
      <c r="G8" s="2">
        <v>8.4375953674316406</v>
      </c>
      <c r="H8" s="2">
        <v>5.0341099999999996E-3</v>
      </c>
      <c r="I8" s="2">
        <v>0</v>
      </c>
    </row>
    <row r="9" spans="2:9" x14ac:dyDescent="0.25">
      <c r="B9" s="2">
        <v>3.1313469999999999</v>
      </c>
      <c r="C9" s="2">
        <v>351.21800000000002</v>
      </c>
      <c r="D9" s="2">
        <v>31.238600000000002</v>
      </c>
      <c r="E9" s="2">
        <v>1220</v>
      </c>
      <c r="F9" s="2">
        <v>2790</v>
      </c>
      <c r="G9" s="2">
        <v>6.6213111877441397</v>
      </c>
      <c r="H9" s="2">
        <v>-4.34075E-3</v>
      </c>
      <c r="I9" s="2">
        <v>0</v>
      </c>
    </row>
    <row r="10" spans="2:9" x14ac:dyDescent="0.25">
      <c r="B10" s="2">
        <v>6.6205610000000004</v>
      </c>
      <c r="C10" s="2">
        <v>151.08080000000001</v>
      </c>
      <c r="D10" s="2">
        <v>3.6533099999999998</v>
      </c>
      <c r="E10" s="2">
        <v>1420</v>
      </c>
      <c r="F10" s="2">
        <v>2790</v>
      </c>
      <c r="G10" s="2">
        <v>9.2867345809936506</v>
      </c>
      <c r="H10" s="2">
        <v>-1.133752E-2</v>
      </c>
      <c r="I10" s="2">
        <v>0</v>
      </c>
    </row>
    <row r="11" spans="2:9" x14ac:dyDescent="0.25">
      <c r="B11" s="2">
        <v>4.3350780000000002</v>
      </c>
      <c r="C11" s="2">
        <v>11.1821</v>
      </c>
      <c r="D11" s="2">
        <v>16.194099999999999</v>
      </c>
      <c r="E11" s="2">
        <v>1420</v>
      </c>
      <c r="F11" s="2">
        <v>2790</v>
      </c>
      <c r="G11" s="2">
        <v>6.8461127281189</v>
      </c>
      <c r="H11" s="2">
        <v>-1.9945779999999999E-3</v>
      </c>
      <c r="I11" s="2">
        <v>0</v>
      </c>
    </row>
    <row r="12" spans="2:9" x14ac:dyDescent="0.25">
      <c r="B12" s="2">
        <v>37.04007</v>
      </c>
      <c r="C12" s="2">
        <v>136.54169999999999</v>
      </c>
      <c r="D12" s="2">
        <v>114.998</v>
      </c>
      <c r="E12" s="2">
        <v>1210</v>
      </c>
      <c r="F12" s="2">
        <v>2741</v>
      </c>
      <c r="G12" s="2">
        <v>6.5700130462646502</v>
      </c>
      <c r="H12" s="2">
        <v>-3.8342929999999997E-2</v>
      </c>
      <c r="I12" s="2">
        <v>0</v>
      </c>
    </row>
    <row r="13" spans="2:9" x14ac:dyDescent="0.25">
      <c r="B13" s="2">
        <v>1.969738</v>
      </c>
      <c r="C13" s="2">
        <v>153.1679</v>
      </c>
      <c r="D13" s="2">
        <v>108.151</v>
      </c>
      <c r="E13" s="2">
        <v>1210</v>
      </c>
      <c r="F13" s="2">
        <v>2741</v>
      </c>
      <c r="G13" s="2">
        <v>6.5707583427429199</v>
      </c>
      <c r="H13" s="2">
        <v>1.1886829999999999E-2</v>
      </c>
      <c r="I13" s="2">
        <v>0</v>
      </c>
    </row>
    <row r="14" spans="2:9" x14ac:dyDescent="0.25">
      <c r="B14" s="2">
        <v>5.6547140000000002</v>
      </c>
      <c r="C14" s="2">
        <v>260.67849999999999</v>
      </c>
      <c r="D14" s="2">
        <v>13.0405</v>
      </c>
      <c r="E14" s="2">
        <v>2220</v>
      </c>
      <c r="F14" s="2">
        <v>1507</v>
      </c>
      <c r="G14" s="2">
        <v>8.0560169219970703</v>
      </c>
      <c r="H14" s="2">
        <v>-8.3119720000000008E-3</v>
      </c>
      <c r="I14" s="2">
        <v>0</v>
      </c>
    </row>
    <row r="15" spans="2:9" x14ac:dyDescent="0.25">
      <c r="B15" s="2">
        <v>13.45218</v>
      </c>
      <c r="C15" s="2">
        <v>127.0424</v>
      </c>
      <c r="D15" s="2">
        <v>59.2254</v>
      </c>
      <c r="E15" s="2">
        <v>2230</v>
      </c>
      <c r="F15" s="2">
        <v>2741</v>
      </c>
      <c r="G15" s="2">
        <v>6.3767123222351101</v>
      </c>
      <c r="H15" s="2">
        <v>8.9050320000000002E-3</v>
      </c>
      <c r="I15" s="2">
        <v>0</v>
      </c>
    </row>
    <row r="16" spans="2:9" x14ac:dyDescent="0.25">
      <c r="B16" s="2">
        <v>7.3062170000000002</v>
      </c>
      <c r="C16" s="2">
        <v>290.65949999999998</v>
      </c>
      <c r="D16" s="2">
        <v>13.4335</v>
      </c>
      <c r="E16" s="2">
        <v>2230</v>
      </c>
      <c r="F16" s="2">
        <v>2742</v>
      </c>
      <c r="G16" s="2">
        <v>7.8867759704589799</v>
      </c>
      <c r="H16" s="2">
        <v>-1.1857390000000001E-2</v>
      </c>
      <c r="I16" s="2">
        <v>0</v>
      </c>
    </row>
    <row r="17" spans="2:9" x14ac:dyDescent="0.25">
      <c r="B17" s="2">
        <v>2.5549279999999999</v>
      </c>
      <c r="C17" s="2">
        <v>55.074039999999997</v>
      </c>
      <c r="D17" s="2">
        <v>3.3167900000000001</v>
      </c>
      <c r="E17" s="2">
        <v>1410</v>
      </c>
      <c r="F17" s="2">
        <v>1507</v>
      </c>
      <c r="G17" s="2">
        <v>7.9144840240478498</v>
      </c>
      <c r="H17" s="2">
        <v>-2.5018570000000001E-4</v>
      </c>
      <c r="I17" s="2">
        <v>0</v>
      </c>
    </row>
    <row r="18" spans="2:9" x14ac:dyDescent="0.25">
      <c r="B18" s="2">
        <v>20.465869999999999</v>
      </c>
      <c r="C18" s="2">
        <v>223.5077</v>
      </c>
      <c r="D18" s="2">
        <v>47.0366</v>
      </c>
      <c r="E18" s="2">
        <v>2230</v>
      </c>
      <c r="F18" s="2">
        <v>1507</v>
      </c>
      <c r="G18" s="2">
        <v>6.20989942550659</v>
      </c>
      <c r="H18" s="2">
        <v>-3.7632870000000001E-3</v>
      </c>
      <c r="I18" s="2">
        <v>0</v>
      </c>
    </row>
    <row r="19" spans="2:9" x14ac:dyDescent="0.25">
      <c r="B19" s="2">
        <v>5.1974179999999999</v>
      </c>
      <c r="C19" s="2">
        <v>170.67740000000001</v>
      </c>
      <c r="D19" s="2">
        <v>35.3491</v>
      </c>
      <c r="E19" s="2">
        <v>1310</v>
      </c>
      <c r="F19" s="2">
        <v>2741</v>
      </c>
      <c r="G19" s="2">
        <v>9.1911230087280291</v>
      </c>
      <c r="H19" s="2">
        <v>-1.2995649999999999E-3</v>
      </c>
      <c r="I19" s="2">
        <v>0</v>
      </c>
    </row>
    <row r="20" spans="2:9" x14ac:dyDescent="0.25">
      <c r="B20" s="2">
        <v>14.85248</v>
      </c>
      <c r="C20" s="2">
        <v>189.5728</v>
      </c>
      <c r="D20" s="2">
        <v>34.809800000000003</v>
      </c>
      <c r="E20" s="2">
        <v>1210</v>
      </c>
      <c r="F20" s="2">
        <v>2773</v>
      </c>
      <c r="G20" s="2">
        <v>6.1391768455505398</v>
      </c>
      <c r="H20" s="2">
        <v>1.542203E-2</v>
      </c>
      <c r="I20" s="2">
        <v>0</v>
      </c>
    </row>
    <row r="21" spans="2:9" x14ac:dyDescent="0.25">
      <c r="B21" s="2">
        <v>3.4524970000000001</v>
      </c>
      <c r="C21" s="2">
        <v>240.7166</v>
      </c>
      <c r="D21" s="2">
        <v>9.0623799999999992</v>
      </c>
      <c r="E21" s="2">
        <v>1210</v>
      </c>
      <c r="F21" s="2">
        <v>1507</v>
      </c>
      <c r="G21" s="2">
        <v>7.0545749664306596</v>
      </c>
      <c r="H21" s="2">
        <v>1.005615E-2</v>
      </c>
      <c r="I21" s="2">
        <v>0</v>
      </c>
    </row>
    <row r="22" spans="2:9" x14ac:dyDescent="0.25">
      <c r="B22" s="2">
        <v>8.9104390000000002</v>
      </c>
      <c r="C22" s="2">
        <v>239.26</v>
      </c>
      <c r="D22" s="2">
        <v>33.468299999999999</v>
      </c>
      <c r="E22" s="2">
        <v>1420</v>
      </c>
      <c r="F22" s="2">
        <v>2742</v>
      </c>
      <c r="G22" s="2">
        <v>7.4120297431945801</v>
      </c>
      <c r="H22" s="2">
        <v>-1.3159509999999999E-2</v>
      </c>
      <c r="I22" s="2">
        <v>0</v>
      </c>
    </row>
    <row r="23" spans="2:9" x14ac:dyDescent="0.25">
      <c r="B23" s="2">
        <v>14.114380000000001</v>
      </c>
      <c r="C23" s="2">
        <v>142.32759999999999</v>
      </c>
      <c r="D23" s="2">
        <v>126.06399999999999</v>
      </c>
      <c r="E23" s="2">
        <v>2110</v>
      </c>
      <c r="F23" s="2">
        <v>2773</v>
      </c>
      <c r="G23" s="2">
        <v>9.5903635025024396</v>
      </c>
      <c r="H23" s="2">
        <v>-9.9640490000000009E-3</v>
      </c>
      <c r="I23" s="2">
        <v>0</v>
      </c>
    </row>
    <row r="24" spans="2:9" x14ac:dyDescent="0.25">
      <c r="B24" s="2">
        <v>2.8368329999999999</v>
      </c>
      <c r="C24" s="2">
        <v>213.2234</v>
      </c>
      <c r="D24" s="2">
        <v>23.9087</v>
      </c>
      <c r="E24" s="2">
        <v>1320</v>
      </c>
      <c r="F24" s="2">
        <v>2790</v>
      </c>
      <c r="G24" s="2">
        <v>8.1943302154540998</v>
      </c>
      <c r="H24" s="2">
        <v>-2.011891E-3</v>
      </c>
      <c r="I24" s="2">
        <v>0</v>
      </c>
    </row>
    <row r="25" spans="2:9" x14ac:dyDescent="0.25">
      <c r="B25" s="2">
        <v>3.9060670000000002</v>
      </c>
      <c r="C25" s="2">
        <v>50.095820000000003</v>
      </c>
      <c r="D25" s="2">
        <v>19.376999999999999</v>
      </c>
      <c r="E25" s="2">
        <v>2210</v>
      </c>
      <c r="F25" s="2">
        <v>1507</v>
      </c>
      <c r="G25" s="2">
        <v>7.0142488479614302</v>
      </c>
      <c r="H25" s="2">
        <v>-9.2288740000000006E-5</v>
      </c>
      <c r="I25" s="2">
        <v>0</v>
      </c>
    </row>
    <row r="26" spans="2:9" x14ac:dyDescent="0.25">
      <c r="B26" s="2">
        <v>5.862711</v>
      </c>
      <c r="C26" s="2">
        <v>282.37979999999999</v>
      </c>
      <c r="D26" s="2">
        <v>59.682200000000002</v>
      </c>
      <c r="E26" s="2">
        <v>1210</v>
      </c>
      <c r="F26" s="2">
        <v>2773</v>
      </c>
      <c r="G26" s="2">
        <v>7.8781423568725604</v>
      </c>
      <c r="H26" s="2">
        <v>-1.7555359999999999E-2</v>
      </c>
      <c r="I26" s="2">
        <v>0</v>
      </c>
    </row>
    <row r="27" spans="2:9" x14ac:dyDescent="0.25">
      <c r="B27" s="2">
        <v>8.9004150000000006</v>
      </c>
      <c r="C27" s="2">
        <v>200.5309</v>
      </c>
      <c r="D27" s="2">
        <v>40.544899999999998</v>
      </c>
      <c r="E27" s="2">
        <v>1210</v>
      </c>
      <c r="F27" s="2">
        <v>1507</v>
      </c>
      <c r="G27" s="2">
        <v>9.5464162826538104</v>
      </c>
      <c r="H27" s="2">
        <v>-2.5504229999999999E-2</v>
      </c>
      <c r="I27" s="2">
        <v>0</v>
      </c>
    </row>
    <row r="28" spans="2:9" x14ac:dyDescent="0.25">
      <c r="B28" s="2">
        <v>8.1774730000000009</v>
      </c>
      <c r="C28" s="2">
        <v>68.119410000000002</v>
      </c>
      <c r="D28" s="2">
        <v>34.799599999999998</v>
      </c>
      <c r="E28" s="2">
        <v>2230</v>
      </c>
      <c r="F28" s="2">
        <v>2773</v>
      </c>
      <c r="G28" s="2">
        <v>8.1699075698852504</v>
      </c>
      <c r="H28" s="2">
        <v>-1.2035580000000001E-2</v>
      </c>
      <c r="I28" s="2">
        <v>0</v>
      </c>
    </row>
    <row r="29" spans="2:9" x14ac:dyDescent="0.25">
      <c r="B29" s="2">
        <v>1.5596049999999999</v>
      </c>
      <c r="C29" s="2">
        <v>249.17670000000001</v>
      </c>
      <c r="D29" s="2">
        <v>17.624500000000001</v>
      </c>
      <c r="E29" s="2">
        <v>2230</v>
      </c>
      <c r="F29" s="2">
        <v>2790</v>
      </c>
      <c r="G29" s="2">
        <v>9.1835813522338903</v>
      </c>
      <c r="H29" s="2">
        <v>1.9168329999999999E-3</v>
      </c>
      <c r="I29" s="2">
        <v>0</v>
      </c>
    </row>
    <row r="30" spans="2:9" x14ac:dyDescent="0.25">
      <c r="B30" s="2">
        <v>3.6866110000000001</v>
      </c>
      <c r="C30" s="2">
        <v>31.082190000000001</v>
      </c>
      <c r="D30" s="2">
        <v>59.290300000000002</v>
      </c>
      <c r="E30" s="2">
        <v>2230</v>
      </c>
      <c r="F30" s="2">
        <v>1507</v>
      </c>
      <c r="G30" s="2">
        <v>6.8998064994812003</v>
      </c>
      <c r="H30" s="2">
        <v>1.9002060000000001E-2</v>
      </c>
      <c r="I30" s="2">
        <v>0</v>
      </c>
    </row>
    <row r="31" spans="2:9" x14ac:dyDescent="0.25">
      <c r="B31" s="2">
        <v>15.656499999999999</v>
      </c>
      <c r="C31" s="2">
        <v>110.6938</v>
      </c>
      <c r="D31" s="2">
        <v>203.501</v>
      </c>
      <c r="E31" s="2">
        <v>1320</v>
      </c>
      <c r="F31" s="2">
        <v>2741</v>
      </c>
      <c r="G31" s="2">
        <v>5.4761228561401403</v>
      </c>
      <c r="H31" s="2">
        <v>6.5837469999999995E-2</v>
      </c>
      <c r="I31" s="2">
        <v>0</v>
      </c>
    </row>
    <row r="32" spans="2:9" x14ac:dyDescent="0.25">
      <c r="B32" s="2">
        <v>9.6144339999999993</v>
      </c>
      <c r="C32" s="2">
        <v>191.53579999999999</v>
      </c>
      <c r="D32" s="2">
        <v>22.558700000000002</v>
      </c>
      <c r="E32" s="2">
        <v>1210</v>
      </c>
      <c r="F32" s="2">
        <v>2790</v>
      </c>
      <c r="G32" s="2">
        <v>7.1733269691467303</v>
      </c>
      <c r="H32" s="2">
        <v>-4.4049770000000002E-2</v>
      </c>
      <c r="I32" s="2">
        <v>0</v>
      </c>
    </row>
    <row r="33" spans="2:9" x14ac:dyDescent="0.25">
      <c r="B33" s="2">
        <v>4.5198429999999998</v>
      </c>
      <c r="C33" s="2">
        <v>210.55799999999999</v>
      </c>
      <c r="D33" s="2">
        <v>49.842100000000002</v>
      </c>
      <c r="E33" s="2">
        <v>1210</v>
      </c>
      <c r="F33" s="2">
        <v>2790</v>
      </c>
      <c r="G33" s="2">
        <v>8.4456357955932599</v>
      </c>
      <c r="H33" s="2">
        <v>-1.1528E-3</v>
      </c>
      <c r="I33" s="2">
        <v>0</v>
      </c>
    </row>
    <row r="34" spans="2:9" x14ac:dyDescent="0.25">
      <c r="B34" s="2">
        <v>1.016567</v>
      </c>
      <c r="C34" s="2">
        <v>39.763660000000002</v>
      </c>
      <c r="D34" s="2">
        <v>5.4502899999999999</v>
      </c>
      <c r="E34" s="2">
        <v>1620</v>
      </c>
      <c r="F34" s="2">
        <v>2790</v>
      </c>
      <c r="G34" s="2">
        <v>10.7418050765991</v>
      </c>
      <c r="H34" s="2">
        <v>-3.5310960000000001E-3</v>
      </c>
      <c r="I34" s="2">
        <v>0</v>
      </c>
    </row>
    <row r="35" spans="2:9" x14ac:dyDescent="0.25">
      <c r="B35" s="2">
        <v>5.0499499999999999</v>
      </c>
      <c r="C35" s="2">
        <v>117.8571</v>
      </c>
      <c r="D35" s="2">
        <v>21.1051</v>
      </c>
      <c r="E35" s="2">
        <v>1210</v>
      </c>
      <c r="F35" s="2">
        <v>1507</v>
      </c>
      <c r="G35" s="2">
        <v>8.2726364135742205</v>
      </c>
      <c r="H35" s="2">
        <v>1.1000750000000001E-3</v>
      </c>
      <c r="I35" s="2">
        <v>0</v>
      </c>
    </row>
    <row r="36" spans="2:9" x14ac:dyDescent="0.25">
      <c r="B36" s="2">
        <v>13.06354</v>
      </c>
      <c r="C36" s="2">
        <v>314.87299999999999</v>
      </c>
      <c r="D36" s="2">
        <v>63.239199999999997</v>
      </c>
      <c r="E36" s="2">
        <v>2230</v>
      </c>
      <c r="F36" s="2">
        <v>2741</v>
      </c>
      <c r="G36" s="2">
        <v>7.90628862380981</v>
      </c>
      <c r="H36" s="2">
        <v>-1.2353950000000001E-2</v>
      </c>
      <c r="I36" s="2">
        <v>0</v>
      </c>
    </row>
    <row r="37" spans="2:9" x14ac:dyDescent="0.25">
      <c r="B37" s="2">
        <v>1.706896</v>
      </c>
      <c r="C37" s="2">
        <v>178.4718</v>
      </c>
      <c r="D37" s="2">
        <v>47.512799999999999</v>
      </c>
      <c r="E37" s="2">
        <v>2230</v>
      </c>
      <c r="F37" s="2">
        <v>2790</v>
      </c>
      <c r="G37" s="2">
        <v>9.9233112335205096</v>
      </c>
      <c r="H37" s="2">
        <v>-1.382178E-3</v>
      </c>
      <c r="I37" s="2">
        <v>0</v>
      </c>
    </row>
    <row r="38" spans="2:9" x14ac:dyDescent="0.25">
      <c r="B38" s="2">
        <v>10.14728</v>
      </c>
      <c r="C38" s="2">
        <v>63.956420000000001</v>
      </c>
      <c r="D38" s="2">
        <v>140.238</v>
      </c>
      <c r="E38" s="2">
        <v>1420</v>
      </c>
      <c r="F38" s="2">
        <v>2773</v>
      </c>
      <c r="G38" s="2">
        <v>5.9890789985656703</v>
      </c>
      <c r="H38" s="2">
        <v>6.4946200000000004E-3</v>
      </c>
      <c r="I38" s="2">
        <v>0</v>
      </c>
    </row>
    <row r="39" spans="2:9" x14ac:dyDescent="0.25">
      <c r="B39" s="2">
        <v>6.7917480000000001</v>
      </c>
      <c r="C39" s="2">
        <v>318.42469999999997</v>
      </c>
      <c r="D39" s="2">
        <v>88.822999999999993</v>
      </c>
      <c r="E39" s="2">
        <v>1310</v>
      </c>
      <c r="F39" s="2">
        <v>2773</v>
      </c>
      <c r="G39" s="2">
        <v>9.8857421875</v>
      </c>
      <c r="H39" s="2">
        <v>-4.5388529999999998E-3</v>
      </c>
      <c r="I39" s="2">
        <v>0</v>
      </c>
    </row>
    <row r="40" spans="2:9" x14ac:dyDescent="0.25">
      <c r="B40" s="2">
        <v>3.5707610000000001</v>
      </c>
      <c r="C40" s="2">
        <v>210.5067</v>
      </c>
      <c r="D40" s="2">
        <v>6.5672100000000002</v>
      </c>
      <c r="E40" s="2">
        <v>1420</v>
      </c>
      <c r="F40" s="2">
        <v>2790</v>
      </c>
      <c r="G40" s="2">
        <v>8.8431663513183594</v>
      </c>
      <c r="H40" s="2">
        <v>3.5860090000000002E-4</v>
      </c>
      <c r="I40" s="2">
        <v>0</v>
      </c>
    </row>
    <row r="41" spans="2:9" x14ac:dyDescent="0.25">
      <c r="B41" s="2">
        <v>0.9939538</v>
      </c>
      <c r="C41" s="2">
        <v>140.5489</v>
      </c>
      <c r="D41" s="2">
        <v>7.9504000000000001</v>
      </c>
      <c r="E41" s="2">
        <v>2230</v>
      </c>
      <c r="F41" s="2">
        <v>2790</v>
      </c>
      <c r="G41" s="2">
        <v>8.2014751434326207</v>
      </c>
      <c r="H41" s="2">
        <v>-4.8810800000000003E-3</v>
      </c>
      <c r="I41" s="2">
        <v>0</v>
      </c>
    </row>
    <row r="42" spans="2:9" x14ac:dyDescent="0.25">
      <c r="B42" s="2">
        <v>2.3647369999999999</v>
      </c>
      <c r="C42" s="2">
        <v>333.64170000000001</v>
      </c>
      <c r="D42" s="2">
        <v>0.93053699999999995</v>
      </c>
      <c r="E42" s="2">
        <v>2300</v>
      </c>
      <c r="F42" s="2">
        <v>1507</v>
      </c>
      <c r="G42" s="2">
        <v>10.823582649231</v>
      </c>
      <c r="H42" s="2">
        <v>-9.1678179999999995E-3</v>
      </c>
      <c r="I42" s="2">
        <v>0</v>
      </c>
    </row>
    <row r="43" spans="2:9" x14ac:dyDescent="0.25">
      <c r="B43" s="2">
        <v>1.125634</v>
      </c>
      <c r="C43" s="2">
        <v>337.76170000000002</v>
      </c>
      <c r="D43" s="2">
        <v>4.4004500000000002</v>
      </c>
      <c r="E43" s="2">
        <v>2230</v>
      </c>
      <c r="F43" s="2">
        <v>1507</v>
      </c>
      <c r="G43" s="2">
        <v>7.9909591674804696</v>
      </c>
      <c r="H43" s="2">
        <v>1.5845589999999999E-3</v>
      </c>
      <c r="I43" s="2">
        <v>0</v>
      </c>
    </row>
    <row r="44" spans="2:9" x14ac:dyDescent="0.25">
      <c r="B44" s="2">
        <v>1.895332</v>
      </c>
      <c r="C44" s="2">
        <v>215.4727</v>
      </c>
      <c r="D44" s="2">
        <v>10.0025</v>
      </c>
      <c r="E44" s="2">
        <v>2110</v>
      </c>
      <c r="F44" s="2">
        <v>2790</v>
      </c>
      <c r="G44" s="2">
        <v>10.5945377349854</v>
      </c>
      <c r="H44" s="2">
        <v>-2.0115729999999998E-2</v>
      </c>
      <c r="I44" s="2">
        <v>0</v>
      </c>
    </row>
    <row r="45" spans="2:9" x14ac:dyDescent="0.25">
      <c r="B45" s="2">
        <v>1.3256490000000001</v>
      </c>
      <c r="C45" s="2">
        <v>45.390979999999999</v>
      </c>
      <c r="D45" s="2">
        <v>6.4786700000000002</v>
      </c>
      <c r="E45" s="2">
        <v>1420</v>
      </c>
      <c r="F45" s="2">
        <v>2790</v>
      </c>
      <c r="G45" s="2">
        <v>10.1098852157593</v>
      </c>
      <c r="H45" s="2">
        <v>-2.2008819999999999E-3</v>
      </c>
      <c r="I45" s="2">
        <v>0</v>
      </c>
    </row>
    <row r="46" spans="2:9" x14ac:dyDescent="0.25">
      <c r="B46" s="2">
        <v>1.297914</v>
      </c>
      <c r="C46" s="2">
        <v>231.1807</v>
      </c>
      <c r="D46" s="2">
        <v>35.040900000000001</v>
      </c>
      <c r="E46" s="2">
        <v>1420</v>
      </c>
      <c r="F46" s="2">
        <v>2790</v>
      </c>
      <c r="G46" s="2">
        <v>10.2355394363403</v>
      </c>
      <c r="H46" s="2">
        <v>-1.648206E-2</v>
      </c>
      <c r="I46" s="2">
        <v>0</v>
      </c>
    </row>
    <row r="47" spans="2:9" x14ac:dyDescent="0.25">
      <c r="B47" s="2">
        <v>3.3558319999999999</v>
      </c>
      <c r="C47" s="2">
        <v>70.253919999999994</v>
      </c>
      <c r="D47" s="2">
        <v>12.3247</v>
      </c>
      <c r="E47" s="2">
        <v>2210</v>
      </c>
      <c r="F47" s="2">
        <v>1507</v>
      </c>
      <c r="G47" s="2">
        <v>10.3769435882568</v>
      </c>
      <c r="H47" s="2">
        <v>-2.0441999999999999E-3</v>
      </c>
      <c r="I47" s="2">
        <v>0</v>
      </c>
    </row>
    <row r="48" spans="2:9" x14ac:dyDescent="0.25">
      <c r="B48" s="2">
        <v>14.78729</v>
      </c>
      <c r="C48" s="2">
        <v>321.3254</v>
      </c>
      <c r="D48" s="2">
        <v>118.92100000000001</v>
      </c>
      <c r="E48" s="2">
        <v>2230</v>
      </c>
      <c r="F48" s="2">
        <v>2773</v>
      </c>
      <c r="G48" s="2">
        <v>6.7185945510864302</v>
      </c>
      <c r="H48" s="2">
        <v>-1.5776700000000001E-2</v>
      </c>
      <c r="I48" s="2">
        <v>0</v>
      </c>
    </row>
    <row r="49" spans="1:9" x14ac:dyDescent="0.25">
      <c r="B49" s="2">
        <v>3.6372110000000002</v>
      </c>
      <c r="C49" s="2">
        <v>15.317130000000001</v>
      </c>
      <c r="D49" s="2">
        <v>7.4330299999999996</v>
      </c>
      <c r="E49" s="2">
        <v>1420</v>
      </c>
      <c r="F49" s="2">
        <v>2790</v>
      </c>
      <c r="G49" s="2">
        <v>8.0861225128173793</v>
      </c>
      <c r="H49" s="2">
        <v>-4.0520920000000002E-3</v>
      </c>
      <c r="I49" s="2">
        <v>0</v>
      </c>
    </row>
    <row r="50" spans="1:9" x14ac:dyDescent="0.25">
      <c r="B50" s="2">
        <v>16.863330000000001</v>
      </c>
      <c r="C50" s="2">
        <v>226.5264</v>
      </c>
      <c r="D50" s="2">
        <v>202.83</v>
      </c>
      <c r="E50" s="2">
        <v>1420</v>
      </c>
      <c r="F50" s="2">
        <v>2741</v>
      </c>
      <c r="G50" s="2">
        <v>6.5228557586669904</v>
      </c>
      <c r="H50" s="3">
        <v>9.7528930000000003E-3</v>
      </c>
      <c r="I50" s="2">
        <v>0</v>
      </c>
    </row>
    <row r="51" spans="1:9" x14ac:dyDescent="0.25">
      <c r="B51" s="2">
        <v>11.090159999999999</v>
      </c>
      <c r="C51" s="2">
        <v>178.25729999999999</v>
      </c>
      <c r="D51" s="2">
        <v>68.482299999999995</v>
      </c>
      <c r="E51" s="2">
        <v>1210</v>
      </c>
      <c r="F51" s="2">
        <v>2742</v>
      </c>
      <c r="G51" s="2">
        <v>7.5797829627990696</v>
      </c>
      <c r="H51" s="2">
        <v>-8.8950520000000003E-4</v>
      </c>
      <c r="I51" s="2">
        <v>0</v>
      </c>
    </row>
    <row r="52" spans="1:9" x14ac:dyDescent="0.25">
      <c r="A52" s="5" t="s">
        <v>7</v>
      </c>
      <c r="B52">
        <f>AVERAGE(B2:B51)</f>
        <v>7.8138410560000002</v>
      </c>
      <c r="C52">
        <f t="shared" ref="C52:F52" si="0">AVERAGE(C2:C51)</f>
        <v>189.23236259999993</v>
      </c>
      <c r="D52">
        <f t="shared" si="0"/>
        <v>48.352213539999994</v>
      </c>
      <c r="E52" s="6">
        <f t="shared" si="0"/>
        <v>1668.4</v>
      </c>
      <c r="F52" s="6">
        <f t="shared" si="0"/>
        <v>2442.02</v>
      </c>
      <c r="G52">
        <f>AVERAGE(G2:G51)</f>
        <v>7.9443181610107425</v>
      </c>
      <c r="H52">
        <f>AVERAGE(H2:H51)</f>
        <v>-2.2096289508000007E-3</v>
      </c>
    </row>
    <row r="53" spans="1:9" x14ac:dyDescent="0.25">
      <c r="A53" s="5" t="s">
        <v>8</v>
      </c>
      <c r="B53">
        <f>_xlfn.VAR.P(B3:B51)</f>
        <v>51.989404101701091</v>
      </c>
      <c r="C53">
        <f t="shared" ref="C53:H53" si="1">_xlfn.VAR.P(C3:C51)</f>
        <v>9847.4793766042003</v>
      </c>
      <c r="D53">
        <f t="shared" si="1"/>
        <v>2393.6959433541811</v>
      </c>
      <c r="E53" s="6">
        <f t="shared" si="1"/>
        <v>195681.88254893795</v>
      </c>
      <c r="F53" s="6">
        <f t="shared" si="1"/>
        <v>311261.78925447731</v>
      </c>
      <c r="G53">
        <f t="shared" si="1"/>
        <v>2.1304257789840348</v>
      </c>
      <c r="H53">
        <f t="shared" si="1"/>
        <v>2.5616575476586481E-4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K8" sqref="K8"/>
    </sheetView>
  </sheetViews>
  <sheetFormatPr defaultRowHeight="12.75" x14ac:dyDescent="0.2"/>
  <cols>
    <col min="1" max="16384" width="9.140625" style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</row>
    <row r="2" spans="1:8" x14ac:dyDescent="0.2">
      <c r="A2" s="2">
        <v>13.45218</v>
      </c>
      <c r="B2" s="2">
        <v>127.0424</v>
      </c>
      <c r="C2" s="2">
        <v>59.2254</v>
      </c>
      <c r="D2" s="2">
        <v>2230</v>
      </c>
      <c r="E2" s="2">
        <v>2741</v>
      </c>
      <c r="F2" s="2">
        <v>6.3767123222351101</v>
      </c>
      <c r="G2" s="2">
        <v>8.9050320000000002E-3</v>
      </c>
      <c r="H2" s="2">
        <v>0</v>
      </c>
    </row>
    <row r="3" spans="1:8" x14ac:dyDescent="0.2">
      <c r="A3" s="2">
        <v>15.656499999999999</v>
      </c>
      <c r="B3" s="2">
        <v>110.6938</v>
      </c>
      <c r="C3" s="2">
        <v>203.501</v>
      </c>
      <c r="D3" s="2">
        <v>1320</v>
      </c>
      <c r="E3" s="2">
        <v>2741</v>
      </c>
      <c r="F3" s="2">
        <v>5.4761228561401403</v>
      </c>
      <c r="G3" s="2">
        <v>6.5837469999999995E-2</v>
      </c>
      <c r="H3" s="2">
        <v>0</v>
      </c>
    </row>
    <row r="4" spans="1:8" x14ac:dyDescent="0.2">
      <c r="A4" s="2">
        <v>1.895332</v>
      </c>
      <c r="B4" s="2">
        <v>215.4727</v>
      </c>
      <c r="C4" s="2">
        <v>10.0025</v>
      </c>
      <c r="D4" s="2">
        <v>2110</v>
      </c>
      <c r="E4" s="2">
        <v>2790</v>
      </c>
      <c r="F4" s="2">
        <v>10.5945377349854</v>
      </c>
      <c r="G4" s="2">
        <v>-2.0115729999999998E-2</v>
      </c>
      <c r="H4" s="2">
        <v>0</v>
      </c>
    </row>
    <row r="5" spans="1:8" x14ac:dyDescent="0.2">
      <c r="A5" s="2">
        <v>1.016567</v>
      </c>
      <c r="B5" s="2">
        <v>39.763660000000002</v>
      </c>
      <c r="C5" s="2">
        <v>5.4502899999999999</v>
      </c>
      <c r="D5" s="2">
        <v>1620</v>
      </c>
      <c r="E5" s="2">
        <v>2790</v>
      </c>
      <c r="F5" s="2">
        <v>10.7418050765991</v>
      </c>
      <c r="G5" s="2">
        <v>-3.5310960000000001E-3</v>
      </c>
      <c r="H5" s="2">
        <v>0</v>
      </c>
    </row>
    <row r="6" spans="1:8" x14ac:dyDescent="0.2">
      <c r="A6" s="2">
        <v>11.090159999999999</v>
      </c>
      <c r="B6" s="2">
        <v>178.25729999999999</v>
      </c>
      <c r="C6" s="2">
        <v>68.482299999999995</v>
      </c>
      <c r="D6" s="2">
        <v>1210</v>
      </c>
      <c r="E6" s="2">
        <v>2742</v>
      </c>
      <c r="F6" s="2">
        <v>7.5797829627990696</v>
      </c>
      <c r="G6" s="2">
        <v>-8.8950520000000003E-4</v>
      </c>
      <c r="H6" s="2">
        <v>0</v>
      </c>
    </row>
    <row r="7" spans="1:8" x14ac:dyDescent="0.2">
      <c r="A7" s="2">
        <v>13.06354</v>
      </c>
      <c r="B7" s="2">
        <v>314.87299999999999</v>
      </c>
      <c r="C7" s="2">
        <v>63.239199999999997</v>
      </c>
      <c r="D7" s="2">
        <v>2230</v>
      </c>
      <c r="E7" s="2">
        <v>2741</v>
      </c>
      <c r="F7" s="2">
        <v>7.90628862380981</v>
      </c>
      <c r="G7" s="2">
        <v>-1.2353950000000001E-2</v>
      </c>
      <c r="H7" s="2">
        <v>0</v>
      </c>
    </row>
    <row r="8" spans="1:8" x14ac:dyDescent="0.2">
      <c r="A8" s="2">
        <v>31.989509999999999</v>
      </c>
      <c r="B8" s="2">
        <v>325.54450000000003</v>
      </c>
      <c r="C8" s="2">
        <v>136.929</v>
      </c>
      <c r="D8" s="2">
        <v>2230</v>
      </c>
      <c r="E8" s="2">
        <v>2741</v>
      </c>
      <c r="F8" s="2">
        <v>6.7899856567382804</v>
      </c>
      <c r="G8" s="2">
        <v>-4.7269169999999998E-3</v>
      </c>
      <c r="H8" s="2">
        <v>1</v>
      </c>
    </row>
    <row r="9" spans="1:8" x14ac:dyDescent="0.2">
      <c r="A9" s="2">
        <v>25.80331</v>
      </c>
      <c r="B9" s="2">
        <v>283.87810000000002</v>
      </c>
      <c r="C9" s="2">
        <v>105.611</v>
      </c>
      <c r="D9" s="2">
        <v>1210</v>
      </c>
      <c r="E9" s="2">
        <v>2741</v>
      </c>
      <c r="F9" s="2">
        <v>5.9640769958496103</v>
      </c>
      <c r="G9" s="2">
        <v>2.328322E-2</v>
      </c>
      <c r="H9" s="2">
        <v>0</v>
      </c>
    </row>
    <row r="10" spans="1:8" x14ac:dyDescent="0.2">
      <c r="A10" s="2">
        <v>17.252320000000001</v>
      </c>
      <c r="B10" s="2">
        <v>215.22559999999999</v>
      </c>
      <c r="C10" s="2">
        <v>37.738199999999999</v>
      </c>
      <c r="D10" s="2">
        <v>2230</v>
      </c>
      <c r="E10" s="2">
        <v>1507</v>
      </c>
      <c r="F10" s="2">
        <v>6.0910096168518102</v>
      </c>
      <c r="G10" s="2">
        <v>-2.1943460000000001E-2</v>
      </c>
      <c r="H10" s="2">
        <v>1</v>
      </c>
    </row>
    <row r="11" spans="1:8" x14ac:dyDescent="0.2">
      <c r="A11" s="2">
        <v>26.273019999999999</v>
      </c>
      <c r="B11" s="2">
        <v>38.050490000000003</v>
      </c>
      <c r="C11" s="2">
        <v>61.719299999999997</v>
      </c>
      <c r="D11" s="2">
        <v>2230</v>
      </c>
      <c r="E11" s="2">
        <v>2742</v>
      </c>
      <c r="F11" s="2">
        <v>7.5405163764953604</v>
      </c>
      <c r="G11" s="2">
        <v>-2.7979500000000001E-2</v>
      </c>
      <c r="H11" s="2">
        <v>1</v>
      </c>
    </row>
    <row r="12" spans="1:8" x14ac:dyDescent="0.2">
      <c r="A12" s="2">
        <v>1.5596049999999999</v>
      </c>
      <c r="B12" s="2">
        <v>249.17670000000001</v>
      </c>
      <c r="C12" s="2">
        <v>17.624500000000001</v>
      </c>
      <c r="D12" s="2">
        <v>2230</v>
      </c>
      <c r="E12" s="2">
        <v>2790</v>
      </c>
      <c r="F12" s="2">
        <v>9.1835813522338903</v>
      </c>
      <c r="G12" s="2">
        <v>1.9168329999999999E-3</v>
      </c>
      <c r="H12" s="2">
        <v>0</v>
      </c>
    </row>
    <row r="13" spans="1:8" x14ac:dyDescent="0.2">
      <c r="A13" s="2">
        <v>6.8629439999999997</v>
      </c>
      <c r="B13" s="2">
        <v>117.93519999999999</v>
      </c>
      <c r="C13" s="2">
        <v>52.208399999999997</v>
      </c>
      <c r="D13" s="2">
        <v>2230</v>
      </c>
      <c r="E13" s="2">
        <v>2742</v>
      </c>
      <c r="F13" s="2">
        <v>8.4375953674316406</v>
      </c>
      <c r="G13" s="2">
        <v>5.0341099999999996E-3</v>
      </c>
      <c r="H13" s="2">
        <v>0</v>
      </c>
    </row>
    <row r="14" spans="1:8" x14ac:dyDescent="0.2">
      <c r="A14" s="2">
        <v>50.764290000000003</v>
      </c>
      <c r="B14" s="2">
        <v>336.88740000000001</v>
      </c>
      <c r="C14" s="2">
        <v>157.279</v>
      </c>
      <c r="D14" s="2">
        <v>2230</v>
      </c>
      <c r="E14" s="2">
        <v>2742</v>
      </c>
      <c r="F14" s="2">
        <v>8.9286022186279297</v>
      </c>
      <c r="G14" s="2">
        <v>-7.7988809999999997E-3</v>
      </c>
      <c r="H14" s="2">
        <v>1</v>
      </c>
    </row>
    <row r="15" spans="1:8" x14ac:dyDescent="0.2">
      <c r="A15" s="2">
        <v>16.863330000000001</v>
      </c>
      <c r="B15" s="2">
        <v>226.5264</v>
      </c>
      <c r="C15" s="2">
        <v>202.83</v>
      </c>
      <c r="D15" s="2">
        <v>1420</v>
      </c>
      <c r="E15" s="2">
        <v>2741</v>
      </c>
      <c r="F15" s="2">
        <v>6.5228557586669904</v>
      </c>
      <c r="G15" s="3">
        <v>9.7528930000000003E-3</v>
      </c>
      <c r="H15" s="2">
        <v>0</v>
      </c>
    </row>
    <row r="16" spans="1:8" x14ac:dyDescent="0.2">
      <c r="A16" s="2">
        <v>15.893039999999999</v>
      </c>
      <c r="B16" s="2">
        <v>240.21559999999999</v>
      </c>
      <c r="C16" s="2">
        <v>179.624</v>
      </c>
      <c r="D16" s="2">
        <v>2230</v>
      </c>
      <c r="E16" s="2">
        <v>2741</v>
      </c>
      <c r="F16" s="2">
        <v>7.92968797683716</v>
      </c>
      <c r="G16" s="2">
        <v>-3.5824880000000003E-2</v>
      </c>
      <c r="H16" s="2">
        <v>1</v>
      </c>
    </row>
    <row r="17" spans="1:8" x14ac:dyDescent="0.2">
      <c r="A17" s="2">
        <v>20.465869999999999</v>
      </c>
      <c r="B17" s="2">
        <v>223.5077</v>
      </c>
      <c r="C17" s="2">
        <v>47.0366</v>
      </c>
      <c r="D17" s="2">
        <v>2230</v>
      </c>
      <c r="E17" s="2">
        <v>1507</v>
      </c>
      <c r="F17" s="2">
        <v>6.20989942550659</v>
      </c>
      <c r="G17" s="2">
        <v>-3.7632870000000001E-3</v>
      </c>
      <c r="H17" s="2">
        <v>0</v>
      </c>
    </row>
    <row r="18" spans="1:8" x14ac:dyDescent="0.2">
      <c r="A18" s="2">
        <v>3.6866110000000001</v>
      </c>
      <c r="B18" s="2">
        <v>31.082190000000001</v>
      </c>
      <c r="C18" s="2">
        <v>59.290300000000002</v>
      </c>
      <c r="D18" s="2">
        <v>2230</v>
      </c>
      <c r="E18" s="2">
        <v>1507</v>
      </c>
      <c r="F18" s="2">
        <v>6.8998064994812003</v>
      </c>
      <c r="G18" s="2">
        <v>1.9002060000000001E-2</v>
      </c>
      <c r="H18" s="2">
        <v>0</v>
      </c>
    </row>
    <row r="19" spans="1:8" x14ac:dyDescent="0.2">
      <c r="A19" s="2">
        <v>21.2517</v>
      </c>
      <c r="B19" s="2">
        <v>65.549220000000005</v>
      </c>
      <c r="C19" s="2">
        <v>66.712400000000002</v>
      </c>
      <c r="D19" s="2">
        <v>2300</v>
      </c>
      <c r="E19" s="2">
        <v>1507</v>
      </c>
      <c r="F19" s="2">
        <v>6.2685508728027299</v>
      </c>
      <c r="G19" s="2">
        <v>-5.5895820000000001E-3</v>
      </c>
      <c r="H19" s="2">
        <v>1</v>
      </c>
    </row>
    <row r="20" spans="1:8" x14ac:dyDescent="0.2">
      <c r="A20" s="2">
        <v>1.706896</v>
      </c>
      <c r="B20" s="2">
        <v>178.4718</v>
      </c>
      <c r="C20" s="2">
        <v>47.512799999999999</v>
      </c>
      <c r="D20" s="2">
        <v>2230</v>
      </c>
      <c r="E20" s="2">
        <v>2790</v>
      </c>
      <c r="F20" s="2">
        <v>9.9233112335205096</v>
      </c>
      <c r="G20" s="2">
        <v>-1.382178E-3</v>
      </c>
      <c r="H20" s="2">
        <v>0</v>
      </c>
    </row>
    <row r="21" spans="1:8" x14ac:dyDescent="0.2">
      <c r="A21" s="2">
        <v>38.886040000000001</v>
      </c>
      <c r="B21" s="2">
        <v>265.41320000000002</v>
      </c>
      <c r="C21" s="2">
        <v>167.874</v>
      </c>
      <c r="D21" s="2">
        <v>2230</v>
      </c>
      <c r="E21" s="2">
        <v>2741</v>
      </c>
      <c r="F21" s="2">
        <v>7.1913547515869096</v>
      </c>
      <c r="G21" s="2">
        <v>-1.6239440000000001E-2</v>
      </c>
      <c r="H21" s="2">
        <v>1</v>
      </c>
    </row>
    <row r="22" spans="1:8" x14ac:dyDescent="0.2">
      <c r="A22" s="2">
        <v>8.9104390000000002</v>
      </c>
      <c r="B22" s="2">
        <v>239.26</v>
      </c>
      <c r="C22" s="2">
        <v>33.468299999999999</v>
      </c>
      <c r="D22" s="2">
        <v>1420</v>
      </c>
      <c r="E22" s="2">
        <v>2742</v>
      </c>
      <c r="F22" s="2">
        <v>7.4120297431945801</v>
      </c>
      <c r="G22" s="2">
        <v>-1.3159509999999999E-2</v>
      </c>
      <c r="H22" s="2">
        <v>0</v>
      </c>
    </row>
    <row r="23" spans="1:8" x14ac:dyDescent="0.2">
      <c r="A23" s="2">
        <v>50.440820000000002</v>
      </c>
      <c r="B23" s="2">
        <v>323.15019999999998</v>
      </c>
      <c r="C23" s="2">
        <v>162.959</v>
      </c>
      <c r="D23" s="2">
        <v>2230</v>
      </c>
      <c r="E23" s="2">
        <v>2742</v>
      </c>
      <c r="F23" s="2">
        <v>8.8074445724487305</v>
      </c>
      <c r="G23" s="2">
        <v>-1.6082180000000001E-2</v>
      </c>
      <c r="H23" s="2">
        <v>1</v>
      </c>
    </row>
    <row r="24" spans="1:8" x14ac:dyDescent="0.2">
      <c r="A24" s="2">
        <v>6.7917480000000001</v>
      </c>
      <c r="B24" s="2">
        <v>318.42469999999997</v>
      </c>
      <c r="C24" s="2">
        <v>88.822999999999993</v>
      </c>
      <c r="D24" s="2">
        <v>1310</v>
      </c>
      <c r="E24" s="2">
        <v>2773</v>
      </c>
      <c r="F24" s="2">
        <v>9.8857421875</v>
      </c>
      <c r="G24" s="2">
        <v>-4.5388529999999998E-3</v>
      </c>
      <c r="H24" s="2">
        <v>0</v>
      </c>
    </row>
    <row r="25" spans="1:8" x14ac:dyDescent="0.2">
      <c r="A25" s="2">
        <v>14.85248</v>
      </c>
      <c r="B25" s="2">
        <v>189.5728</v>
      </c>
      <c r="C25" s="2">
        <v>34.809800000000003</v>
      </c>
      <c r="D25" s="2">
        <v>1210</v>
      </c>
      <c r="E25" s="2">
        <v>2773</v>
      </c>
      <c r="F25" s="2">
        <v>6.1391768455505398</v>
      </c>
      <c r="G25" s="2">
        <v>1.542203E-2</v>
      </c>
      <c r="H25" s="2">
        <v>0</v>
      </c>
    </row>
    <row r="26" spans="1:8" x14ac:dyDescent="0.2">
      <c r="A26" s="2">
        <v>9.610989</v>
      </c>
      <c r="B26" s="2">
        <v>188.28360000000001</v>
      </c>
      <c r="C26" s="2">
        <v>104.42400000000001</v>
      </c>
      <c r="D26" s="2">
        <v>2230</v>
      </c>
      <c r="E26" s="2">
        <v>2773</v>
      </c>
      <c r="F26" s="2">
        <v>5.8209662437439</v>
      </c>
      <c r="G26" s="2">
        <v>6.620347E-2</v>
      </c>
      <c r="H26" s="2">
        <v>1</v>
      </c>
    </row>
    <row r="27" spans="1:8" x14ac:dyDescent="0.2">
      <c r="A27" s="2">
        <v>47.325560000000003</v>
      </c>
      <c r="B27" s="2">
        <v>332.23649999999998</v>
      </c>
      <c r="C27" s="2">
        <v>150.93799999999999</v>
      </c>
      <c r="D27" s="2">
        <v>2230</v>
      </c>
      <c r="E27" s="2">
        <v>2742</v>
      </c>
      <c r="F27" s="2">
        <v>8.8074445724487305</v>
      </c>
      <c r="G27" s="2">
        <v>-2.1122390000000001E-2</v>
      </c>
      <c r="H27" s="2">
        <v>1</v>
      </c>
    </row>
    <row r="28" spans="1:8" x14ac:dyDescent="0.2">
      <c r="A28" s="2">
        <v>20.16253</v>
      </c>
      <c r="B28" s="2">
        <v>302.82819999999998</v>
      </c>
      <c r="C28" s="2">
        <v>227.203</v>
      </c>
      <c r="D28" s="2">
        <v>2230</v>
      </c>
      <c r="E28" s="2">
        <v>2741</v>
      </c>
      <c r="F28" s="2">
        <v>5.2906742095947301</v>
      </c>
      <c r="G28" s="2">
        <v>4.0442579999999999E-2</v>
      </c>
      <c r="H28" s="2">
        <v>1</v>
      </c>
    </row>
    <row r="29" spans="1:8" x14ac:dyDescent="0.2">
      <c r="A29" s="2">
        <v>15.270530000000001</v>
      </c>
      <c r="B29" s="2">
        <v>70.068619999999996</v>
      </c>
      <c r="C29" s="2">
        <v>44.583300000000001</v>
      </c>
      <c r="D29" s="2">
        <v>2230</v>
      </c>
      <c r="E29" s="2">
        <v>2741</v>
      </c>
      <c r="F29" s="2">
        <v>8.3427619934081996</v>
      </c>
      <c r="G29" s="2">
        <v>-2.4895469999999999E-2</v>
      </c>
      <c r="H29" s="2">
        <v>1</v>
      </c>
    </row>
    <row r="30" spans="1:8" x14ac:dyDescent="0.2">
      <c r="A30" s="2">
        <v>4.3350780000000002</v>
      </c>
      <c r="B30" s="2">
        <v>11.1821</v>
      </c>
      <c r="C30" s="2">
        <v>16.194099999999999</v>
      </c>
      <c r="D30" s="2">
        <v>1420</v>
      </c>
      <c r="E30" s="2">
        <v>2790</v>
      </c>
      <c r="F30" s="2">
        <v>6.8461127281189</v>
      </c>
      <c r="G30" s="2">
        <v>-1.9945779999999999E-3</v>
      </c>
      <c r="H30" s="2">
        <v>0</v>
      </c>
    </row>
    <row r="31" spans="1:8" x14ac:dyDescent="0.2">
      <c r="A31" s="2">
        <v>25.264040000000001</v>
      </c>
      <c r="B31" s="2">
        <v>215.4213</v>
      </c>
      <c r="C31" s="2">
        <v>95.710099999999997</v>
      </c>
      <c r="D31" s="2">
        <v>2230</v>
      </c>
      <c r="E31" s="2">
        <v>2741</v>
      </c>
      <c r="F31" s="2">
        <v>6.1772270202636701</v>
      </c>
      <c r="G31" s="2">
        <v>-3.167848E-3</v>
      </c>
      <c r="H31" s="2">
        <v>1</v>
      </c>
    </row>
    <row r="32" spans="1:8" x14ac:dyDescent="0.2">
      <c r="A32" s="2">
        <v>14.78729</v>
      </c>
      <c r="B32" s="2">
        <v>321.3254</v>
      </c>
      <c r="C32" s="2">
        <v>118.92100000000001</v>
      </c>
      <c r="D32" s="2">
        <v>2230</v>
      </c>
      <c r="E32" s="2">
        <v>2773</v>
      </c>
      <c r="F32" s="2">
        <v>6.7185945510864302</v>
      </c>
      <c r="G32" s="2">
        <v>-1.5776700000000001E-2</v>
      </c>
      <c r="H32" s="2">
        <v>0</v>
      </c>
    </row>
    <row r="33" spans="1:8" x14ac:dyDescent="0.2">
      <c r="A33" s="2">
        <v>35.926389999999998</v>
      </c>
      <c r="B33" s="2">
        <v>355.0102</v>
      </c>
      <c r="C33" s="2">
        <v>126.45399999999999</v>
      </c>
      <c r="D33" s="2">
        <v>2230</v>
      </c>
      <c r="E33" s="2">
        <v>2741</v>
      </c>
      <c r="F33" s="2">
        <v>5.9423041343689</v>
      </c>
      <c r="G33" s="2">
        <v>1.2324110000000001E-3</v>
      </c>
      <c r="H33" s="2">
        <v>1</v>
      </c>
    </row>
    <row r="34" spans="1:8" x14ac:dyDescent="0.2">
      <c r="A34" s="2">
        <v>7.5229809999999997</v>
      </c>
      <c r="B34" s="2">
        <v>282.01900000000001</v>
      </c>
      <c r="C34" s="2">
        <v>36.687600000000003</v>
      </c>
      <c r="D34" s="2">
        <v>2230</v>
      </c>
      <c r="E34" s="2">
        <v>2741</v>
      </c>
      <c r="F34" s="2">
        <v>6.9886140823364302</v>
      </c>
      <c r="G34" s="2">
        <v>5.9312239999999997E-3</v>
      </c>
      <c r="H34" s="2">
        <v>1</v>
      </c>
    </row>
    <row r="35" spans="1:8" x14ac:dyDescent="0.2">
      <c r="A35" s="2">
        <v>12.80721</v>
      </c>
      <c r="B35" s="2">
        <v>252.2655</v>
      </c>
      <c r="C35" s="2">
        <v>193.453</v>
      </c>
      <c r="D35" s="2">
        <v>2230</v>
      </c>
      <c r="E35" s="2">
        <v>2741</v>
      </c>
      <c r="F35" s="2">
        <v>5.7891383171081499</v>
      </c>
      <c r="G35" s="2">
        <v>4.3848249999999998E-2</v>
      </c>
      <c r="H35" s="2">
        <v>1</v>
      </c>
    </row>
    <row r="36" spans="1:8" x14ac:dyDescent="0.2">
      <c r="A36" s="2">
        <v>3.6372110000000002</v>
      </c>
      <c r="B36" s="2">
        <v>15.317130000000001</v>
      </c>
      <c r="C36" s="2">
        <v>7.4330299999999996</v>
      </c>
      <c r="D36" s="2">
        <v>1420</v>
      </c>
      <c r="E36" s="2">
        <v>2790</v>
      </c>
      <c r="F36" s="2">
        <v>8.0861225128173793</v>
      </c>
      <c r="G36" s="2">
        <v>-4.0520920000000002E-3</v>
      </c>
      <c r="H36" s="2">
        <v>0</v>
      </c>
    </row>
    <row r="37" spans="1:8" x14ac:dyDescent="0.2">
      <c r="A37" s="2">
        <v>43.193649999999998</v>
      </c>
      <c r="B37" s="2">
        <v>317.0813</v>
      </c>
      <c r="C37" s="2">
        <v>147.953</v>
      </c>
      <c r="D37" s="2">
        <v>2230</v>
      </c>
      <c r="E37" s="2">
        <v>2742</v>
      </c>
      <c r="F37" s="2">
        <v>9.0512056350708008</v>
      </c>
      <c r="G37" s="2">
        <v>-4.6799970000000003E-2</v>
      </c>
      <c r="H37" s="2">
        <v>1</v>
      </c>
    </row>
    <row r="38" spans="1:8" x14ac:dyDescent="0.2">
      <c r="A38" s="2">
        <v>12.91217</v>
      </c>
      <c r="B38" s="2">
        <v>312.83260000000001</v>
      </c>
      <c r="C38" s="2">
        <v>100.764</v>
      </c>
      <c r="D38" s="2">
        <v>2230</v>
      </c>
      <c r="E38" s="2">
        <v>2741</v>
      </c>
      <c r="F38" s="2">
        <v>7.0414309501647896</v>
      </c>
      <c r="G38" s="2">
        <v>9.3734460000000006E-3</v>
      </c>
      <c r="H38" s="2">
        <v>1</v>
      </c>
    </row>
    <row r="39" spans="1:8" x14ac:dyDescent="0.2">
      <c r="A39" s="2">
        <v>3.1313469999999999</v>
      </c>
      <c r="B39" s="2">
        <v>351.21800000000002</v>
      </c>
      <c r="C39" s="2">
        <v>31.238600000000002</v>
      </c>
      <c r="D39" s="2">
        <v>1220</v>
      </c>
      <c r="E39" s="2">
        <v>2790</v>
      </c>
      <c r="F39" s="2">
        <v>6.6213111877441397</v>
      </c>
      <c r="G39" s="2">
        <v>-4.34075E-3</v>
      </c>
      <c r="H39" s="2">
        <v>0</v>
      </c>
    </row>
    <row r="40" spans="1:8" x14ac:dyDescent="0.2">
      <c r="A40" s="2">
        <v>39.27149</v>
      </c>
      <c r="B40" s="2">
        <v>271.68970000000002</v>
      </c>
      <c r="C40" s="2">
        <v>167.57900000000001</v>
      </c>
      <c r="D40" s="2">
        <v>2230</v>
      </c>
      <c r="E40" s="2">
        <v>2741</v>
      </c>
      <c r="F40" s="2">
        <v>6.6716060638427699</v>
      </c>
      <c r="G40" s="2">
        <v>-3.9204269999999999E-2</v>
      </c>
      <c r="H40" s="2">
        <v>1</v>
      </c>
    </row>
    <row r="41" spans="1:8" x14ac:dyDescent="0.2">
      <c r="A41" s="2">
        <v>14.37866</v>
      </c>
      <c r="B41" s="2">
        <v>328.0992</v>
      </c>
      <c r="C41" s="2">
        <v>94.453699999999998</v>
      </c>
      <c r="D41" s="2">
        <v>2220</v>
      </c>
      <c r="E41" s="2">
        <v>1507</v>
      </c>
      <c r="F41" s="2">
        <v>5.7028045654296902</v>
      </c>
      <c r="G41" s="2">
        <v>1.4410579999999999E-2</v>
      </c>
      <c r="H41" s="2">
        <v>0</v>
      </c>
    </row>
    <row r="42" spans="1:8" x14ac:dyDescent="0.2">
      <c r="A42" s="2">
        <v>3.3558319999999999</v>
      </c>
      <c r="B42" s="2">
        <v>70.253919999999994</v>
      </c>
      <c r="C42" s="2">
        <v>12.3247</v>
      </c>
      <c r="D42" s="2">
        <v>2210</v>
      </c>
      <c r="E42" s="2">
        <v>1507</v>
      </c>
      <c r="F42" s="2">
        <v>10.3769435882568</v>
      </c>
      <c r="G42" s="2">
        <v>-2.0441999999999999E-3</v>
      </c>
      <c r="H42" s="2">
        <v>0</v>
      </c>
    </row>
    <row r="43" spans="1:8" x14ac:dyDescent="0.2">
      <c r="A43" s="2">
        <v>6.6205610000000004</v>
      </c>
      <c r="B43" s="2">
        <v>151.08080000000001</v>
      </c>
      <c r="C43" s="2">
        <v>3.6533099999999998</v>
      </c>
      <c r="D43" s="2">
        <v>1420</v>
      </c>
      <c r="E43" s="2">
        <v>2790</v>
      </c>
      <c r="F43" s="2">
        <v>9.2867345809936506</v>
      </c>
      <c r="G43" s="2">
        <v>-1.133752E-2</v>
      </c>
      <c r="H43" s="2">
        <v>0</v>
      </c>
    </row>
    <row r="44" spans="1:8" x14ac:dyDescent="0.2">
      <c r="A44" s="2">
        <v>37.04007</v>
      </c>
      <c r="B44" s="2">
        <v>136.54169999999999</v>
      </c>
      <c r="C44" s="2">
        <v>114.998</v>
      </c>
      <c r="D44" s="2">
        <v>1210</v>
      </c>
      <c r="E44" s="2">
        <v>2741</v>
      </c>
      <c r="F44" s="2">
        <v>6.5700130462646502</v>
      </c>
      <c r="G44" s="2">
        <v>-3.8342929999999997E-2</v>
      </c>
      <c r="H44" s="2">
        <v>0</v>
      </c>
    </row>
    <row r="45" spans="1:8" x14ac:dyDescent="0.2">
      <c r="A45" s="2">
        <v>1.3256490000000001</v>
      </c>
      <c r="B45" s="2">
        <v>45.390979999999999</v>
      </c>
      <c r="C45" s="2">
        <v>6.4786700000000002</v>
      </c>
      <c r="D45" s="2">
        <v>1420</v>
      </c>
      <c r="E45" s="2">
        <v>2790</v>
      </c>
      <c r="F45" s="2">
        <v>10.1098852157593</v>
      </c>
      <c r="G45" s="2">
        <v>-2.2008819999999999E-3</v>
      </c>
      <c r="H45" s="2">
        <v>0</v>
      </c>
    </row>
    <row r="46" spans="1:8" x14ac:dyDescent="0.2">
      <c r="A46" s="2">
        <v>36.05959</v>
      </c>
      <c r="B46" s="2">
        <v>270.452</v>
      </c>
      <c r="C46" s="2">
        <v>177.05199999999999</v>
      </c>
      <c r="D46" s="2">
        <v>2230</v>
      </c>
      <c r="E46" s="2">
        <v>2741</v>
      </c>
      <c r="F46" s="2">
        <v>7.9573802947998002</v>
      </c>
      <c r="G46" s="2">
        <v>-1.7213889999999999E-2</v>
      </c>
      <c r="H46" s="2">
        <v>1</v>
      </c>
    </row>
    <row r="47" spans="1:8" x14ac:dyDescent="0.2">
      <c r="A47" s="2">
        <v>15.409689999999999</v>
      </c>
      <c r="B47" s="2">
        <v>290.92090000000002</v>
      </c>
      <c r="C47" s="2">
        <v>104.871</v>
      </c>
      <c r="D47" s="2">
        <v>2230</v>
      </c>
      <c r="E47" s="2">
        <v>2741</v>
      </c>
      <c r="F47" s="2">
        <v>7.5690722465515101</v>
      </c>
      <c r="G47" s="2">
        <v>-1.1200019999999999E-3</v>
      </c>
      <c r="H47" s="2">
        <v>1</v>
      </c>
    </row>
    <row r="48" spans="1:8" x14ac:dyDescent="0.2">
      <c r="A48" s="2">
        <v>31.69032</v>
      </c>
      <c r="B48" s="2">
        <v>36.392569999999999</v>
      </c>
      <c r="C48" s="2">
        <v>210.798</v>
      </c>
      <c r="D48" s="2">
        <v>1310</v>
      </c>
      <c r="E48" s="2">
        <v>2741</v>
      </c>
      <c r="F48" s="2">
        <v>5.9046177864074698</v>
      </c>
      <c r="G48" s="2">
        <v>1.4104780000000001E-2</v>
      </c>
      <c r="H48" s="2">
        <v>1</v>
      </c>
    </row>
    <row r="49" spans="1:8" x14ac:dyDescent="0.2">
      <c r="A49" s="2">
        <v>5.6547140000000002</v>
      </c>
      <c r="B49" s="2">
        <v>260.67849999999999</v>
      </c>
      <c r="C49" s="2">
        <v>13.0405</v>
      </c>
      <c r="D49" s="2">
        <v>2220</v>
      </c>
      <c r="E49" s="2">
        <v>1507</v>
      </c>
      <c r="F49" s="2">
        <v>8.0560169219970703</v>
      </c>
      <c r="G49" s="2">
        <v>-8.3119720000000008E-3</v>
      </c>
      <c r="H49" s="2">
        <v>0</v>
      </c>
    </row>
    <row r="50" spans="1:8" x14ac:dyDescent="0.2">
      <c r="A50" s="2">
        <v>35.926389999999998</v>
      </c>
      <c r="B50" s="2">
        <v>355.0102</v>
      </c>
      <c r="C50" s="2">
        <v>126.45399999999999</v>
      </c>
      <c r="D50" s="2">
        <v>2230</v>
      </c>
      <c r="E50" s="2">
        <v>2741</v>
      </c>
      <c r="F50" s="2">
        <v>5.9423041343689</v>
      </c>
      <c r="G50" s="2">
        <v>1.2324110000000001E-3</v>
      </c>
      <c r="H50" s="2">
        <v>1</v>
      </c>
    </row>
    <row r="51" spans="1:8" x14ac:dyDescent="0.2">
      <c r="A51" s="2">
        <v>5.862711</v>
      </c>
      <c r="B51" s="2">
        <v>282.37979999999999</v>
      </c>
      <c r="C51" s="2">
        <v>59.682200000000002</v>
      </c>
      <c r="D51" s="2">
        <v>1210</v>
      </c>
      <c r="E51" s="2">
        <v>2773</v>
      </c>
      <c r="F51" s="2">
        <v>7.8781423568725604</v>
      </c>
      <c r="G51" s="2">
        <v>-1.7555359999999999E-2</v>
      </c>
      <c r="H51" s="2">
        <v>0</v>
      </c>
    </row>
    <row r="52" spans="1:8" x14ac:dyDescent="0.2">
      <c r="A52" s="2">
        <v>2.8368329999999999</v>
      </c>
      <c r="B52" s="2">
        <v>213.2234</v>
      </c>
      <c r="C52" s="2">
        <v>23.9087</v>
      </c>
      <c r="D52" s="2">
        <v>1320</v>
      </c>
      <c r="E52" s="2">
        <v>2790</v>
      </c>
      <c r="F52" s="2">
        <v>8.1943302154540998</v>
      </c>
      <c r="G52" s="2">
        <v>-2.011891E-3</v>
      </c>
      <c r="H52" s="2">
        <v>0</v>
      </c>
    </row>
    <row r="53" spans="1:8" x14ac:dyDescent="0.2">
      <c r="A53" s="2">
        <v>24.59159</v>
      </c>
      <c r="B53" s="2">
        <v>330.46159999999998</v>
      </c>
      <c r="C53" s="2">
        <v>257.70999999999998</v>
      </c>
      <c r="D53" s="2">
        <v>2230</v>
      </c>
      <c r="E53" s="2">
        <v>2741</v>
      </c>
      <c r="F53" s="2">
        <v>5.94693899154663</v>
      </c>
      <c r="G53" s="2">
        <v>1.7660599999999999E-2</v>
      </c>
      <c r="H53" s="2">
        <v>1</v>
      </c>
    </row>
    <row r="54" spans="1:8" x14ac:dyDescent="0.2">
      <c r="A54" s="2">
        <v>5.0499499999999999</v>
      </c>
      <c r="B54" s="2">
        <v>117.8571</v>
      </c>
      <c r="C54" s="2">
        <v>21.1051</v>
      </c>
      <c r="D54" s="2">
        <v>1210</v>
      </c>
      <c r="E54" s="2">
        <v>1507</v>
      </c>
      <c r="F54" s="2">
        <v>8.2726364135742205</v>
      </c>
      <c r="G54" s="2">
        <v>1.1000750000000001E-3</v>
      </c>
      <c r="H54" s="2">
        <v>0</v>
      </c>
    </row>
    <row r="55" spans="1:8" x14ac:dyDescent="0.2">
      <c r="A55" s="2">
        <v>10.14728</v>
      </c>
      <c r="B55" s="2">
        <v>63.956420000000001</v>
      </c>
      <c r="C55" s="2">
        <v>140.238</v>
      </c>
      <c r="D55" s="2">
        <v>1420</v>
      </c>
      <c r="E55" s="2">
        <v>2773</v>
      </c>
      <c r="F55" s="2">
        <v>5.9890789985656703</v>
      </c>
      <c r="G55" s="2">
        <v>6.4946200000000004E-3</v>
      </c>
      <c r="H55" s="2">
        <v>0</v>
      </c>
    </row>
    <row r="56" spans="1:8" x14ac:dyDescent="0.2">
      <c r="A56" s="2">
        <v>19.469329999999999</v>
      </c>
      <c r="B56" s="2">
        <v>317.97210000000001</v>
      </c>
      <c r="C56" s="2">
        <v>73.0167</v>
      </c>
      <c r="D56" s="2">
        <v>1620</v>
      </c>
      <c r="E56" s="2">
        <v>2773</v>
      </c>
      <c r="F56" s="2">
        <v>6.5559277534484899</v>
      </c>
      <c r="G56" s="2">
        <v>-1.170918E-2</v>
      </c>
      <c r="H56" s="2">
        <v>0</v>
      </c>
    </row>
    <row r="57" spans="1:8" x14ac:dyDescent="0.2">
      <c r="A57" s="2">
        <v>4.5198429999999998</v>
      </c>
      <c r="B57" s="2">
        <v>210.55799999999999</v>
      </c>
      <c r="C57" s="2">
        <v>49.842100000000002</v>
      </c>
      <c r="D57" s="2">
        <v>1210</v>
      </c>
      <c r="E57" s="2">
        <v>2790</v>
      </c>
      <c r="F57" s="2">
        <v>8.4456357955932599</v>
      </c>
      <c r="G57" s="2">
        <v>-1.1528E-3</v>
      </c>
      <c r="H57" s="2">
        <v>0</v>
      </c>
    </row>
    <row r="58" spans="1:8" x14ac:dyDescent="0.2">
      <c r="A58" s="2">
        <v>28.050319999999999</v>
      </c>
      <c r="B58" s="2">
        <v>349.733</v>
      </c>
      <c r="C58" s="2">
        <v>77.653800000000004</v>
      </c>
      <c r="D58" s="2">
        <v>2230</v>
      </c>
      <c r="E58" s="2">
        <v>2741</v>
      </c>
      <c r="F58" s="2">
        <v>6.0022087097168004</v>
      </c>
      <c r="G58" s="2">
        <v>-1.6151200000000001E-2</v>
      </c>
      <c r="H58" s="2">
        <v>1</v>
      </c>
    </row>
    <row r="59" spans="1:8" x14ac:dyDescent="0.2">
      <c r="A59" s="2">
        <v>14.43256</v>
      </c>
      <c r="B59" s="2">
        <v>305.21269999999998</v>
      </c>
      <c r="C59" s="2">
        <v>51.511299999999999</v>
      </c>
      <c r="D59" s="2">
        <v>2220</v>
      </c>
      <c r="E59" s="2">
        <v>1507</v>
      </c>
      <c r="F59" s="2">
        <v>6.6509094238281197</v>
      </c>
      <c r="G59" s="2">
        <v>5.6868679999999998E-2</v>
      </c>
      <c r="H59" s="2">
        <v>1</v>
      </c>
    </row>
    <row r="60" spans="1:8" x14ac:dyDescent="0.2">
      <c r="A60" s="2">
        <v>11.61885</v>
      </c>
      <c r="B60" s="2">
        <v>83.922970000000007</v>
      </c>
      <c r="C60" s="2">
        <v>63.8611</v>
      </c>
      <c r="D60" s="2">
        <v>2230</v>
      </c>
      <c r="E60" s="2">
        <v>2742</v>
      </c>
      <c r="F60" s="2">
        <v>7.1702151298522896</v>
      </c>
      <c r="G60" s="2">
        <v>-4.3281730000000003E-3</v>
      </c>
      <c r="H60" s="2">
        <v>1</v>
      </c>
    </row>
    <row r="61" spans="1:8" x14ac:dyDescent="0.2">
      <c r="A61" s="2">
        <v>12.313599999999999</v>
      </c>
      <c r="B61" s="2">
        <v>323.43439999999998</v>
      </c>
      <c r="C61" s="2">
        <v>68.768900000000002</v>
      </c>
      <c r="D61" s="2">
        <v>2230</v>
      </c>
      <c r="E61" s="2">
        <v>2773</v>
      </c>
      <c r="F61" s="2">
        <v>7.0807876586914098</v>
      </c>
      <c r="G61" s="2">
        <v>1.0400700000000001E-2</v>
      </c>
      <c r="H61" s="2">
        <v>1</v>
      </c>
    </row>
    <row r="62" spans="1:8" x14ac:dyDescent="0.2">
      <c r="A62" s="2">
        <v>40.885649999999998</v>
      </c>
      <c r="B62" s="2">
        <v>34.561169999999997</v>
      </c>
      <c r="C62" s="2">
        <v>237.22300000000001</v>
      </c>
      <c r="D62" s="2">
        <v>2230</v>
      </c>
      <c r="E62" s="2">
        <v>2741</v>
      </c>
      <c r="F62" s="2">
        <v>5.4332227706909197</v>
      </c>
      <c r="G62" s="2">
        <v>3.3371049999999999E-2</v>
      </c>
      <c r="H62" s="2">
        <v>1</v>
      </c>
    </row>
    <row r="63" spans="1:8" x14ac:dyDescent="0.2">
      <c r="A63" s="2">
        <v>21.414059999999999</v>
      </c>
      <c r="B63" s="2">
        <v>174.6944</v>
      </c>
      <c r="C63" s="2">
        <v>105.236</v>
      </c>
      <c r="D63" s="2">
        <v>2230</v>
      </c>
      <c r="E63" s="2">
        <v>2741</v>
      </c>
      <c r="F63" s="2">
        <v>7.1829819679260298</v>
      </c>
      <c r="G63" s="2">
        <v>-1.2410910000000001E-2</v>
      </c>
      <c r="H63" s="2">
        <v>1</v>
      </c>
    </row>
    <row r="64" spans="1:8" x14ac:dyDescent="0.2">
      <c r="A64" s="2">
        <v>7.3062170000000002</v>
      </c>
      <c r="B64" s="2">
        <v>290.65949999999998</v>
      </c>
      <c r="C64" s="2">
        <v>13.4335</v>
      </c>
      <c r="D64" s="2">
        <v>2230</v>
      </c>
      <c r="E64" s="2">
        <v>2742</v>
      </c>
      <c r="F64" s="2">
        <v>7.8867759704589799</v>
      </c>
      <c r="G64" s="2">
        <v>-1.1857390000000001E-2</v>
      </c>
      <c r="H64" s="2">
        <v>0</v>
      </c>
    </row>
    <row r="65" spans="1:8" x14ac:dyDescent="0.2">
      <c r="A65" s="2">
        <v>29.077539999999999</v>
      </c>
      <c r="B65" s="2">
        <v>301.22579999999999</v>
      </c>
      <c r="C65" s="2">
        <v>95.721500000000006</v>
      </c>
      <c r="D65" s="2">
        <v>2230</v>
      </c>
      <c r="E65" s="2">
        <v>2742</v>
      </c>
      <c r="F65" s="2">
        <v>9.2600498199462908</v>
      </c>
      <c r="G65" s="2">
        <v>-3.4782899999999999E-2</v>
      </c>
      <c r="H65" s="2">
        <v>1</v>
      </c>
    </row>
    <row r="66" spans="1:8" x14ac:dyDescent="0.2">
      <c r="A66" s="2">
        <v>26.273019999999999</v>
      </c>
      <c r="B66" s="2">
        <v>38.050490000000003</v>
      </c>
      <c r="C66" s="2">
        <v>61.719299999999997</v>
      </c>
      <c r="D66" s="2">
        <v>2230</v>
      </c>
      <c r="E66" s="2">
        <v>2742</v>
      </c>
      <c r="F66" s="2">
        <v>7.5405163764953604</v>
      </c>
      <c r="G66" s="2">
        <v>-2.7979500000000001E-2</v>
      </c>
      <c r="H66" s="2">
        <v>1</v>
      </c>
    </row>
    <row r="67" spans="1:8" x14ac:dyDescent="0.2">
      <c r="A67" s="2">
        <v>1.125634</v>
      </c>
      <c r="B67" s="2">
        <v>337.76170000000002</v>
      </c>
      <c r="C67" s="2">
        <v>4.4004500000000002</v>
      </c>
      <c r="D67" s="2">
        <v>2230</v>
      </c>
      <c r="E67" s="2">
        <v>1507</v>
      </c>
      <c r="F67" s="2">
        <v>7.9909591674804696</v>
      </c>
      <c r="G67" s="2">
        <v>1.5845589999999999E-3</v>
      </c>
      <c r="H67" s="2">
        <v>0</v>
      </c>
    </row>
    <row r="68" spans="1:8" x14ac:dyDescent="0.2">
      <c r="A68" s="2">
        <v>2.7555939999999999</v>
      </c>
      <c r="B68" s="2">
        <v>284.34320000000002</v>
      </c>
      <c r="C68" s="2">
        <v>50.848300000000002</v>
      </c>
      <c r="D68" s="2">
        <v>1320</v>
      </c>
      <c r="E68" s="2">
        <v>2790</v>
      </c>
      <c r="F68" s="2">
        <v>6.7519345283508301</v>
      </c>
      <c r="G68" s="2">
        <v>-1.162078E-4</v>
      </c>
      <c r="H68" s="2">
        <v>0</v>
      </c>
    </row>
    <row r="69" spans="1:8" x14ac:dyDescent="0.2">
      <c r="A69" s="2">
        <v>9.6144339999999993</v>
      </c>
      <c r="B69" s="2">
        <v>191.53579999999999</v>
      </c>
      <c r="C69" s="2">
        <v>22.558700000000002</v>
      </c>
      <c r="D69" s="2">
        <v>1210</v>
      </c>
      <c r="E69" s="2">
        <v>2790</v>
      </c>
      <c r="F69" s="2">
        <v>7.1733269691467303</v>
      </c>
      <c r="G69" s="2">
        <v>-4.4049770000000002E-2</v>
      </c>
      <c r="H69" s="2">
        <v>0</v>
      </c>
    </row>
    <row r="70" spans="1:8" x14ac:dyDescent="0.2">
      <c r="A70" s="2">
        <v>19.000389999999999</v>
      </c>
      <c r="B70" s="2">
        <v>311.25470000000001</v>
      </c>
      <c r="C70" s="2">
        <v>187.19800000000001</v>
      </c>
      <c r="D70" s="2">
        <v>2230</v>
      </c>
      <c r="E70" s="2">
        <v>2741</v>
      </c>
      <c r="F70" s="2">
        <v>7.2908363342285201</v>
      </c>
      <c r="G70" s="2">
        <v>-3.337661E-3</v>
      </c>
      <c r="H70" s="2">
        <v>1</v>
      </c>
    </row>
    <row r="71" spans="1:8" x14ac:dyDescent="0.2">
      <c r="A71" s="2">
        <v>38.817540000000001</v>
      </c>
      <c r="B71" s="2">
        <v>3.4178549999999999</v>
      </c>
      <c r="C71" s="2">
        <v>153.27099999999999</v>
      </c>
      <c r="D71" s="2">
        <v>2230</v>
      </c>
      <c r="E71" s="2">
        <v>2773</v>
      </c>
      <c r="F71" s="2">
        <v>5.9630846977233896</v>
      </c>
      <c r="G71" s="2">
        <v>-3.0110379999999999E-2</v>
      </c>
      <c r="H71" s="2">
        <v>1</v>
      </c>
    </row>
    <row r="72" spans="1:8" x14ac:dyDescent="0.2">
      <c r="A72" s="2">
        <v>21.343640000000001</v>
      </c>
      <c r="B72" s="2">
        <v>199.6523</v>
      </c>
      <c r="C72" s="2">
        <v>56.430300000000003</v>
      </c>
      <c r="D72" s="2">
        <v>2230</v>
      </c>
      <c r="E72" s="2">
        <v>2773</v>
      </c>
      <c r="F72" s="2">
        <v>7.9022140502929696</v>
      </c>
      <c r="G72" s="2">
        <v>1.6150629999999999E-2</v>
      </c>
      <c r="H72" s="2">
        <v>1</v>
      </c>
    </row>
    <row r="73" spans="1:8" x14ac:dyDescent="0.2">
      <c r="A73" s="2">
        <v>1.297914</v>
      </c>
      <c r="B73" s="2">
        <v>231.1807</v>
      </c>
      <c r="C73" s="2">
        <v>35.040900000000001</v>
      </c>
      <c r="D73" s="2">
        <v>1420</v>
      </c>
      <c r="E73" s="2">
        <v>2790</v>
      </c>
      <c r="F73" s="2">
        <v>10.2355394363403</v>
      </c>
      <c r="G73" s="2">
        <v>-1.648206E-2</v>
      </c>
      <c r="H73" s="2">
        <v>0</v>
      </c>
    </row>
    <row r="74" spans="1:8" x14ac:dyDescent="0.2">
      <c r="A74" s="2">
        <v>44.821980000000003</v>
      </c>
      <c r="B74" s="2">
        <v>17.85426</v>
      </c>
      <c r="C74" s="2">
        <v>118.768</v>
      </c>
      <c r="D74" s="2">
        <v>2230</v>
      </c>
      <c r="E74" s="2">
        <v>2741</v>
      </c>
      <c r="F74" s="2">
        <v>6.3703022003173801</v>
      </c>
      <c r="G74" s="2">
        <v>-1.9464599999999999E-2</v>
      </c>
      <c r="H74" s="2">
        <v>1</v>
      </c>
    </row>
    <row r="75" spans="1:8" x14ac:dyDescent="0.2">
      <c r="A75" s="2">
        <v>13.86985</v>
      </c>
      <c r="B75" s="2">
        <v>96.816069999999996</v>
      </c>
      <c r="C75" s="2">
        <v>92.364099999999993</v>
      </c>
      <c r="D75" s="2">
        <v>2300</v>
      </c>
      <c r="E75" s="2">
        <v>1507</v>
      </c>
      <c r="F75" s="2">
        <v>7.8674597740173304</v>
      </c>
      <c r="G75" s="2">
        <v>-2.1442119999999999E-2</v>
      </c>
      <c r="H75" s="2">
        <v>1</v>
      </c>
    </row>
    <row r="76" spans="1:8" x14ac:dyDescent="0.2">
      <c r="A76" s="2">
        <v>18.163620000000002</v>
      </c>
      <c r="B76" s="2">
        <v>162.6687</v>
      </c>
      <c r="C76" s="2">
        <v>125.63200000000001</v>
      </c>
      <c r="D76" s="2">
        <v>2230</v>
      </c>
      <c r="E76" s="2">
        <v>2741</v>
      </c>
      <c r="F76" s="2">
        <v>7.8442449569702104</v>
      </c>
      <c r="G76" s="2">
        <v>2.095815E-3</v>
      </c>
      <c r="H76" s="2">
        <v>1</v>
      </c>
    </row>
    <row r="77" spans="1:8" x14ac:dyDescent="0.2">
      <c r="A77" s="2">
        <v>34.225119999999997</v>
      </c>
      <c r="B77" s="2">
        <v>9.9486629999999998</v>
      </c>
      <c r="C77" s="2">
        <v>125.395</v>
      </c>
      <c r="D77" s="2">
        <v>2230</v>
      </c>
      <c r="E77" s="2">
        <v>2741</v>
      </c>
      <c r="F77" s="2">
        <v>5.9423041343689</v>
      </c>
      <c r="G77" s="2">
        <v>-3.7346290000000002E-3</v>
      </c>
      <c r="H77" s="2">
        <v>1</v>
      </c>
    </row>
    <row r="78" spans="1:8" x14ac:dyDescent="0.2">
      <c r="A78" s="2">
        <v>1.969738</v>
      </c>
      <c r="B78" s="2">
        <v>153.1679</v>
      </c>
      <c r="C78" s="2">
        <v>108.151</v>
      </c>
      <c r="D78" s="2">
        <v>1210</v>
      </c>
      <c r="E78" s="2">
        <v>2741</v>
      </c>
      <c r="F78" s="2">
        <v>6.5707583427429199</v>
      </c>
      <c r="G78" s="2">
        <v>1.1886829999999999E-2</v>
      </c>
      <c r="H78" s="2">
        <v>0</v>
      </c>
    </row>
    <row r="79" spans="1:8" x14ac:dyDescent="0.2">
      <c r="A79" s="2">
        <v>2.5549279999999999</v>
      </c>
      <c r="B79" s="2">
        <v>55.074039999999997</v>
      </c>
      <c r="C79" s="2">
        <v>3.3167900000000001</v>
      </c>
      <c r="D79" s="2">
        <v>1410</v>
      </c>
      <c r="E79" s="2">
        <v>1507</v>
      </c>
      <c r="F79" s="2">
        <v>7.9144840240478498</v>
      </c>
      <c r="G79" s="2">
        <v>-2.5018570000000001E-4</v>
      </c>
      <c r="H79" s="2">
        <v>0</v>
      </c>
    </row>
    <row r="80" spans="1:8" x14ac:dyDescent="0.2">
      <c r="A80" s="2">
        <v>13.676439999999999</v>
      </c>
      <c r="B80" s="2">
        <v>229.68780000000001</v>
      </c>
      <c r="C80" s="2">
        <v>36.948900000000002</v>
      </c>
      <c r="D80" s="2">
        <v>2230</v>
      </c>
      <c r="E80" s="2">
        <v>2741</v>
      </c>
      <c r="F80" s="2">
        <v>9.5251646041870099</v>
      </c>
      <c r="G80" s="2">
        <v>-4.3320829999999998E-2</v>
      </c>
      <c r="H80" s="2">
        <v>1</v>
      </c>
    </row>
    <row r="81" spans="1:8" x14ac:dyDescent="0.2">
      <c r="A81" s="2">
        <v>21.46828</v>
      </c>
      <c r="B81" s="2">
        <v>325.72809999999998</v>
      </c>
      <c r="C81" s="2">
        <v>91.427800000000005</v>
      </c>
      <c r="D81" s="2">
        <v>2230</v>
      </c>
      <c r="E81" s="2">
        <v>2742</v>
      </c>
      <c r="F81" s="2">
        <v>7.3829488754272496</v>
      </c>
      <c r="G81" s="2">
        <v>-2.2380170000000001E-2</v>
      </c>
      <c r="H81" s="2">
        <v>1</v>
      </c>
    </row>
    <row r="82" spans="1:8" x14ac:dyDescent="0.2">
      <c r="A82" s="2">
        <v>3.5707610000000001</v>
      </c>
      <c r="B82" s="2">
        <v>210.5067</v>
      </c>
      <c r="C82" s="2">
        <v>6.5672100000000002</v>
      </c>
      <c r="D82" s="2">
        <v>1420</v>
      </c>
      <c r="E82" s="2">
        <v>2790</v>
      </c>
      <c r="F82" s="2">
        <v>8.8431663513183594</v>
      </c>
      <c r="G82" s="2">
        <v>3.5860090000000002E-4</v>
      </c>
      <c r="H82" s="2">
        <v>0</v>
      </c>
    </row>
    <row r="83" spans="1:8" x14ac:dyDescent="0.2">
      <c r="A83" s="2">
        <v>34.914299999999997</v>
      </c>
      <c r="B83" s="2">
        <v>313.05220000000003</v>
      </c>
      <c r="C83" s="2">
        <v>135.715</v>
      </c>
      <c r="D83" s="2">
        <v>2230</v>
      </c>
      <c r="E83" s="2">
        <v>2741</v>
      </c>
      <c r="F83" s="2">
        <v>6.7759723663330096</v>
      </c>
      <c r="G83" s="2">
        <v>-7.0043670000000001E-3</v>
      </c>
      <c r="H83" s="2">
        <v>1</v>
      </c>
    </row>
    <row r="84" spans="1:8" x14ac:dyDescent="0.2">
      <c r="A84" s="2">
        <v>5.1974179999999999</v>
      </c>
      <c r="B84" s="2">
        <v>170.67740000000001</v>
      </c>
      <c r="C84" s="2">
        <v>35.3491</v>
      </c>
      <c r="D84" s="2">
        <v>1310</v>
      </c>
      <c r="E84" s="2">
        <v>2741</v>
      </c>
      <c r="F84" s="2">
        <v>9.1911230087280291</v>
      </c>
      <c r="G84" s="2">
        <v>-1.2995649999999999E-3</v>
      </c>
      <c r="H84" s="2">
        <v>0</v>
      </c>
    </row>
    <row r="85" spans="1:8" x14ac:dyDescent="0.2">
      <c r="A85" s="2">
        <v>2.3647369999999999</v>
      </c>
      <c r="B85" s="2">
        <v>333.64170000000001</v>
      </c>
      <c r="C85" s="2">
        <v>0.93053699999999995</v>
      </c>
      <c r="D85" s="2">
        <v>2300</v>
      </c>
      <c r="E85" s="2">
        <v>1507</v>
      </c>
      <c r="F85" s="2">
        <v>10.823582649231</v>
      </c>
      <c r="G85" s="2">
        <v>-9.1678179999999995E-3</v>
      </c>
      <c r="H85" s="2">
        <v>0</v>
      </c>
    </row>
    <row r="86" spans="1:8" x14ac:dyDescent="0.2">
      <c r="A86" s="2">
        <v>25.516459999999999</v>
      </c>
      <c r="B86" s="2">
        <v>281.42750000000001</v>
      </c>
      <c r="C86" s="2">
        <v>159.048</v>
      </c>
      <c r="D86" s="2">
        <v>2230</v>
      </c>
      <c r="E86" s="2">
        <v>2741</v>
      </c>
      <c r="F86" s="2">
        <v>7.3179035186767596</v>
      </c>
      <c r="G86" s="2">
        <v>7.2812240000000002E-3</v>
      </c>
      <c r="H86" s="2">
        <v>1</v>
      </c>
    </row>
    <row r="87" spans="1:8" x14ac:dyDescent="0.2">
      <c r="A87" s="2">
        <v>0.9939538</v>
      </c>
      <c r="B87" s="2">
        <v>140.5489</v>
      </c>
      <c r="C87" s="2">
        <v>7.9504000000000001</v>
      </c>
      <c r="D87" s="2">
        <v>2230</v>
      </c>
      <c r="E87" s="2">
        <v>2790</v>
      </c>
      <c r="F87" s="2">
        <v>8.2014751434326207</v>
      </c>
      <c r="G87" s="2">
        <v>-4.8810800000000003E-3</v>
      </c>
      <c r="H87" s="2">
        <v>0</v>
      </c>
    </row>
    <row r="88" spans="1:8" x14ac:dyDescent="0.2">
      <c r="A88" s="2">
        <v>3.4524970000000001</v>
      </c>
      <c r="B88" s="2">
        <v>240.7166</v>
      </c>
      <c r="C88" s="2">
        <v>9.0623799999999992</v>
      </c>
      <c r="D88" s="2">
        <v>1210</v>
      </c>
      <c r="E88" s="2">
        <v>1507</v>
      </c>
      <c r="F88" s="2">
        <v>7.0545749664306596</v>
      </c>
      <c r="G88" s="2">
        <v>1.005615E-2</v>
      </c>
      <c r="H88" s="2">
        <v>0</v>
      </c>
    </row>
    <row r="89" spans="1:8" x14ac:dyDescent="0.2">
      <c r="A89" s="2">
        <v>21.2517</v>
      </c>
      <c r="B89" s="2">
        <v>65.549220000000005</v>
      </c>
      <c r="C89" s="2">
        <v>66.712400000000002</v>
      </c>
      <c r="D89" s="2">
        <v>2300</v>
      </c>
      <c r="E89" s="2">
        <v>1507</v>
      </c>
      <c r="F89" s="2">
        <v>6.2685508728027299</v>
      </c>
      <c r="G89" s="2">
        <v>-5.5895820000000001E-3</v>
      </c>
      <c r="H89" s="2">
        <v>1</v>
      </c>
    </row>
    <row r="90" spans="1:8" x14ac:dyDescent="0.2">
      <c r="A90" s="2">
        <v>8.1774730000000009</v>
      </c>
      <c r="B90" s="2">
        <v>68.119410000000002</v>
      </c>
      <c r="C90" s="2">
        <v>34.799599999999998</v>
      </c>
      <c r="D90" s="2">
        <v>2230</v>
      </c>
      <c r="E90" s="2">
        <v>2773</v>
      </c>
      <c r="F90" s="2">
        <v>8.1699075698852504</v>
      </c>
      <c r="G90" s="2">
        <v>-1.2035580000000001E-2</v>
      </c>
      <c r="H90" s="2">
        <v>0</v>
      </c>
    </row>
    <row r="91" spans="1:8" x14ac:dyDescent="0.2">
      <c r="A91" s="2">
        <v>1.7468589999999999</v>
      </c>
      <c r="B91" s="2">
        <v>76.171859999999995</v>
      </c>
      <c r="C91" s="2">
        <v>4.0444300000000002</v>
      </c>
      <c r="D91" s="2">
        <v>1320</v>
      </c>
      <c r="E91" s="2">
        <v>1507</v>
      </c>
      <c r="F91" s="2">
        <v>8.7031879425048793</v>
      </c>
      <c r="G91" s="2">
        <v>2.630608E-3</v>
      </c>
      <c r="H91" s="2">
        <v>0</v>
      </c>
    </row>
    <row r="92" spans="1:8" x14ac:dyDescent="0.2">
      <c r="A92" s="2">
        <v>8.9004150000000006</v>
      </c>
      <c r="B92" s="2">
        <v>200.5309</v>
      </c>
      <c r="C92" s="2">
        <v>40.544899999999998</v>
      </c>
      <c r="D92" s="2">
        <v>1210</v>
      </c>
      <c r="E92" s="2">
        <v>1507</v>
      </c>
      <c r="F92" s="2">
        <v>9.5464162826538104</v>
      </c>
      <c r="G92" s="2">
        <v>-2.5504229999999999E-2</v>
      </c>
      <c r="H92" s="2">
        <v>0</v>
      </c>
    </row>
    <row r="93" spans="1:8" x14ac:dyDescent="0.2">
      <c r="A93" s="2">
        <v>23.418669999999999</v>
      </c>
      <c r="B93" s="2">
        <v>338.25790000000001</v>
      </c>
      <c r="C93" s="2">
        <v>81.882800000000003</v>
      </c>
      <c r="D93" s="2">
        <v>1220</v>
      </c>
      <c r="E93" s="2">
        <v>2741</v>
      </c>
      <c r="F93" s="2">
        <v>6.73537254333496</v>
      </c>
      <c r="G93" s="2">
        <v>1.7949150000000001E-2</v>
      </c>
      <c r="H93" s="2">
        <v>1</v>
      </c>
    </row>
    <row r="94" spans="1:8" x14ac:dyDescent="0.2">
      <c r="A94" s="2">
        <v>31.69032</v>
      </c>
      <c r="B94" s="2">
        <v>36.392569999999999</v>
      </c>
      <c r="C94" s="2">
        <v>210.798</v>
      </c>
      <c r="D94" s="2">
        <v>1310</v>
      </c>
      <c r="E94" s="2">
        <v>2741</v>
      </c>
      <c r="F94" s="2">
        <v>5.9046177864074698</v>
      </c>
      <c r="G94" s="2">
        <v>1.4104780000000001E-2</v>
      </c>
      <c r="H94" s="2">
        <v>1</v>
      </c>
    </row>
    <row r="95" spans="1:8" x14ac:dyDescent="0.2">
      <c r="A95" s="2">
        <v>5.8131620000000002</v>
      </c>
      <c r="B95" s="2">
        <v>343.58539999999999</v>
      </c>
      <c r="C95" s="2">
        <v>9.5276800000000001</v>
      </c>
      <c r="D95" s="2">
        <v>1420</v>
      </c>
      <c r="E95" s="2">
        <v>2790</v>
      </c>
      <c r="F95" s="2">
        <v>6.5904679298400897</v>
      </c>
      <c r="G95" s="2">
        <v>8.1080700000000002E-3</v>
      </c>
      <c r="H95" s="2">
        <v>0</v>
      </c>
    </row>
    <row r="96" spans="1:8" x14ac:dyDescent="0.2">
      <c r="A96" s="2">
        <v>28.894169999999999</v>
      </c>
      <c r="B96" s="2">
        <v>61.79618</v>
      </c>
      <c r="C96" s="2">
        <v>62.967399999999998</v>
      </c>
      <c r="D96" s="2">
        <v>1220</v>
      </c>
      <c r="E96" s="2">
        <v>2773</v>
      </c>
      <c r="F96" s="2">
        <v>6.2001600265502903</v>
      </c>
      <c r="G96" s="2">
        <v>9.0950079999999999E-3</v>
      </c>
      <c r="H96" s="2">
        <v>1</v>
      </c>
    </row>
    <row r="97" spans="1:8" x14ac:dyDescent="0.2">
      <c r="A97" s="2">
        <v>37.890990000000002</v>
      </c>
      <c r="B97" s="2">
        <v>336.34500000000003</v>
      </c>
      <c r="C97" s="2">
        <v>177.72200000000001</v>
      </c>
      <c r="D97" s="2">
        <v>2230</v>
      </c>
      <c r="E97" s="2">
        <v>2773</v>
      </c>
      <c r="F97" s="2">
        <v>6.2171783447265598</v>
      </c>
      <c r="G97" s="2">
        <v>-2.12111E-2</v>
      </c>
      <c r="H97" s="2">
        <v>1</v>
      </c>
    </row>
    <row r="98" spans="1:8" x14ac:dyDescent="0.2">
      <c r="A98" s="2">
        <v>7.0451300000000003</v>
      </c>
      <c r="B98" s="2">
        <v>99.541309999999996</v>
      </c>
      <c r="C98" s="2">
        <v>37.765300000000003</v>
      </c>
      <c r="D98" s="2">
        <v>1420</v>
      </c>
      <c r="E98" s="2">
        <v>2742</v>
      </c>
      <c r="F98" s="2">
        <v>9.46826267242432</v>
      </c>
      <c r="G98" s="2">
        <v>-1.869154E-2</v>
      </c>
      <c r="H98" s="2">
        <v>1</v>
      </c>
    </row>
    <row r="99" spans="1:8" x14ac:dyDescent="0.2">
      <c r="A99" s="2">
        <v>16.2957</v>
      </c>
      <c r="B99" s="2">
        <v>216.5744</v>
      </c>
      <c r="C99" s="2">
        <v>106.033</v>
      </c>
      <c r="D99" s="2">
        <v>2230</v>
      </c>
      <c r="E99" s="2">
        <v>2773</v>
      </c>
      <c r="F99" s="2">
        <v>9.1820287704467791</v>
      </c>
      <c r="G99" s="2">
        <v>-1.5873200000000001E-2</v>
      </c>
      <c r="H99" s="2">
        <v>1</v>
      </c>
    </row>
    <row r="100" spans="1:8" x14ac:dyDescent="0.2">
      <c r="A100" s="2">
        <v>3.9060670000000002</v>
      </c>
      <c r="B100" s="2">
        <v>50.095820000000003</v>
      </c>
      <c r="C100" s="2">
        <v>19.376999999999999</v>
      </c>
      <c r="D100" s="2">
        <v>2210</v>
      </c>
      <c r="E100" s="2">
        <v>1507</v>
      </c>
      <c r="F100" s="2">
        <v>7.0142488479614302</v>
      </c>
      <c r="G100" s="2">
        <v>-9.2288740000000006E-5</v>
      </c>
      <c r="H100" s="2">
        <v>0</v>
      </c>
    </row>
    <row r="101" spans="1:8" x14ac:dyDescent="0.2">
      <c r="A101" s="2">
        <v>14.114380000000001</v>
      </c>
      <c r="B101" s="2">
        <v>142.32759999999999</v>
      </c>
      <c r="C101" s="2">
        <v>126.06399999999999</v>
      </c>
      <c r="D101" s="2">
        <v>2110</v>
      </c>
      <c r="E101" s="2">
        <v>2773</v>
      </c>
      <c r="F101" s="2">
        <v>9.5903635025024396</v>
      </c>
      <c r="G101" s="2">
        <v>-9.9640490000000009E-3</v>
      </c>
      <c r="H101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lands</vt:lpstr>
      <vt:lpstr>nonlands</vt:lpstr>
      <vt:lpstr>embaralhado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2020-06-11T20:21:19Z</dcterms:modified>
</cp:coreProperties>
</file>